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Inputs" sheetId="2" state="visible" r:id="rId4"/>
    <sheet name="02_Geometry" sheetId="3" state="visible" r:id="rId5"/>
    <sheet name="03_Compass" sheetId="4" state="visible" r:id="rId6"/>
    <sheet name="04_Weather" sheetId="5" state="visible" r:id="rId7"/>
    <sheet name="05_Heat_Loss" sheetId="6" state="visible" r:id="rId8"/>
    <sheet name="06_Heat_Gain" sheetId="7" state="visible" r:id="rId9"/>
    <sheet name="07_Internal_Gains" sheetId="8" state="visible" r:id="rId10"/>
    <sheet name="08_Heat_Balance" sheetId="9" state="visible" r:id="rId11"/>
    <sheet name="09_DHW" sheetId="10" state="visible" r:id="rId12"/>
    <sheet name="10_Ventilation" sheetId="11" state="visible" r:id="rId13"/>
    <sheet name="11_Systems" sheetId="12" state="visible" r:id="rId14"/>
    <sheet name="12_Other_Loads" sheetId="13" state="visible" r:id="rId15"/>
    <sheet name="13_Energy_Use" sheetId="14" state="visible" r:id="rId16"/>
    <sheet name="14_Validation" sheetId="15" state="visible" r:id="rId17"/>
  </sheets>
  <definedNames>
    <definedName function="false" hidden="false" name="i_ach_inf" vbProcedure="false">01_Inputs!$C$33</definedName>
    <definedName function="false" hidden="false" name="i_ach_perm" vbProcedure="false">01_Inputs!$C$36</definedName>
    <definedName function="false" hidden="false" name="i_alpha_r" vbProcedure="false">01_Inputs!$C$24</definedName>
    <definedName function="false" hidden="false" name="i_alpha_w" vbProcedure="false">01_Inputs!$C$23</definedName>
    <definedName function="false" hidden="false" name="i_ashp_cop" vbProcedure="false">01_Inputs!$C$56</definedName>
    <definedName function="false" hidden="false" name="i_ashp_share" vbProcedure="false">01_Inputs!$C$55</definedName>
    <definedName function="false" hidden="false" name="i_cf_elec" vbProcedure="false">01_Inputs!$C$90</definedName>
    <definedName function="false" hidden="false" name="i_cf_gas" vbProcedure="false">01_Inputs!$C$91</definedName>
    <definedName function="false" hidden="false" name="i_cp_air" vbProcedure="false">01_Inputs!$C$38</definedName>
    <definedName function="false" hidden="false" name="i_cp_w" vbProcedure="false">01_Inputs!$C$60</definedName>
    <definedName function="false" hidden="false" name="i_dhw_pump" vbProcedure="false">01_Inputs!$C$58</definedName>
    <definedName function="false" hidden="false" name="i_dist_loss" vbProcedure="false">01_Inputs!$C$54</definedName>
    <definedName function="false" hidden="false" name="i_dx_seer" vbProcedure="false">01_Inputs!$C$79</definedName>
    <definedName function="false" hidden="false" name="i_dx_share" vbProcedure="false">01_Inputs!$C$80</definedName>
    <definedName function="false" hidden="false" name="i_equip_h" vbProcedure="false">01_Inputs!$C$46</definedName>
    <definedName function="false" hidden="false" name="i_equip_LPD" vbProcedure="false">01_Inputs!$C$45</definedName>
    <definedName function="false" hidden="false" name="i_ext_light" vbProcedure="false">01_Inputs!$C$84</definedName>
    <definedName function="false" hidden="false" name="i_floors" vbProcedure="false">01_Inputs!$C$7</definedName>
    <definedName function="false" hidden="false" name="i_floor_h" vbProcedure="false">01_Inputs!$C$8</definedName>
    <definedName function="false" hidden="false" name="i_frame_frac" vbProcedure="false">01_Inputs!$C$26</definedName>
    <definedName function="false" hidden="false" name="i_gain_useful_h" vbProcedure="false">01_Inputs!$C$47</definedName>
    <definedName function="false" hidden="false" name="i_gas_eff" vbProcedure="false">01_Inputs!$C$57</definedName>
    <definedName function="false" hidden="false" name="i_g_value" vbProcedure="false">01_Inputs!$C$22</definedName>
    <definedName function="false" hidden="false" name="i_hot_frac" vbProcedure="false">01_Inputs!$C$51</definedName>
    <definedName function="false" hidden="false" name="i_h_out" vbProcedure="false">01_Inputs!$C$25</definedName>
    <definedName function="false" hidden="false" name="i_length" vbProcedure="false">01_Inputs!$C$5</definedName>
    <definedName function="false" hidden="false" name="i_lifts" vbProcedure="false">01_Inputs!$C$85</definedName>
    <definedName function="false" hidden="false" name="i_light_h" vbProcedure="false">01_Inputs!$C$44</definedName>
    <definedName function="false" hidden="false" name="i_light_LPD" vbProcedure="false">01_Inputs!$C$43</definedName>
    <definedName function="false" hidden="false" name="i_mvhr_flow" vbProcedure="false">01_Inputs!$C$66</definedName>
    <definedName function="false" hidden="false" name="i_mvhr_h" vbProcedure="false">01_Inputs!$C$69</definedName>
    <definedName function="false" hidden="false" name="i_mvhr_hre" vbProcedure="false">01_Inputs!$C$68</definedName>
    <definedName function="false" hidden="false" name="i_mvhr_sfp" vbProcedure="false">01_Inputs!$C$67</definedName>
    <definedName function="false" hidden="false" name="i_mvhr_useful_frac" vbProcedure="false">01_Inputs!$C$70</definedName>
    <definedName function="false" hidden="false" name="i_m_elec" vbProcedure="false">01_Inputs!$C$94</definedName>
    <definedName function="false" hidden="false" name="i_m_gas" vbProcedure="false">01_Inputs!$C$95</definedName>
    <definedName function="false" hidden="false" name="i_occ_h" vbProcedure="false">01_Inputs!$C$41</definedName>
    <definedName function="false" hidden="false" name="i_orient" vbProcedure="false">01_Inputs!$C$9</definedName>
    <definedName function="false" hidden="false" name="i_other_elec" vbProcedure="false">01_Inputs!$C$87</definedName>
    <definedName function="false" hidden="false" name="i_panel_cop" vbProcedure="false">01_Inputs!$C$75</definedName>
    <definedName function="false" hidden="false" name="i_panel_share" vbProcedure="false">01_Inputs!$C$76</definedName>
    <definedName function="false" hidden="false" name="i_pers_W" vbProcedure="false">01_Inputs!$C$42</definedName>
    <definedName function="false" hidden="false" name="i_pumps" vbProcedure="false">01_Inputs!$C$86</definedName>
    <definedName function="false" hidden="false" name="i_refrig" vbProcedure="false">01_Inputs!$C$83</definedName>
    <definedName function="false" hidden="false" name="i_rho_air" vbProcedure="false">01_Inputs!$C$37</definedName>
    <definedName function="false" hidden="false" name="i_rho_w" vbProcedure="false">01_Inputs!$C$59</definedName>
    <definedName function="false" hidden="false" name="i_T_cold" vbProcedure="false">01_Inputs!$C$52</definedName>
    <definedName function="false" hidden="false" name="i_T_cool" vbProcedure="false">01_Inputs!$C$30</definedName>
    <definedName function="false" hidden="false" name="i_T_delivery" vbProcedure="false">01_Inputs!$C$53</definedName>
    <definedName function="false" hidden="false" name="i_T_heat" vbProcedure="false">01_Inputs!$C$29</definedName>
    <definedName function="false" hidden="false" name="i_u_floor" vbProcedure="false">01_Inputs!$C$20</definedName>
    <definedName function="false" hidden="false" name="i_u_glaz" vbProcedure="false">01_Inputs!$C$21</definedName>
    <definedName function="false" hidden="false" name="i_u_roof" vbProcedure="false">01_Inputs!$C$19</definedName>
    <definedName function="false" hidden="false" name="i_u_wall" vbProcedure="false">01_Inputs!$C$18</definedName>
    <definedName function="false" hidden="false" name="i_vent_NE" vbProcedure="false">01_Inputs!$C$34</definedName>
    <definedName function="false" hidden="false" name="i_vent_SW" vbProcedure="false">01_Inputs!$C$35</definedName>
    <definedName function="false" hidden="false" name="i_vrf_c_seer" vbProcedure="false">01_Inputs!$C$77</definedName>
    <definedName function="false" hidden="false" name="i_vrf_c_share" vbProcedure="false">01_Inputs!$C$78</definedName>
    <definedName function="false" hidden="false" name="i_vrf_h_scop" vbProcedure="false">01_Inputs!$C$73</definedName>
    <definedName function="false" hidden="false" name="i_vrf_h_share" vbProcedure="false">01_Inputs!$C$74</definedName>
    <definedName function="false" hidden="false" name="i_water_total" vbProcedure="false">01_Inputs!$C$50</definedName>
    <definedName function="false" hidden="false" name="i_wc_flow" vbProcedure="false">01_Inputs!$C$63</definedName>
    <definedName function="false" hidden="false" name="i_wc_h" vbProcedure="false">01_Inputs!$C$65</definedName>
    <definedName function="false" hidden="false" name="i_wc_sfp" vbProcedure="false">01_Inputs!$C$64</definedName>
    <definedName function="false" hidden="false" name="i_width" vbProcedure="false">01_Inputs!$C$6</definedName>
    <definedName function="false" hidden="false" name="i_wwr_F1" vbProcedure="false">01_Inputs!$C$12</definedName>
    <definedName function="false" hidden="false" name="i_wwr_F2" vbProcedure="false">01_Inputs!$C$13</definedName>
    <definedName function="false" hidden="false" name="i_wwr_F3" vbProcedure="false">01_Inputs!$C$14</definedName>
    <definedName function="false" hidden="false" name="i_wwr_F4" vbProcedure="false">01_Inputs!$C$15</definedName>
    <definedName function="false" hidden="false" name="_local_F1" vbProcedure="false">03_Compass!$C$6</definedName>
    <definedName function="false" hidden="false" name="_local_F2" vbProcedure="false">03_Compass!$C$7</definedName>
    <definedName function="false" hidden="false" name="_local_F3" vbProcedure="false">03_Compass!$C$8</definedName>
    <definedName function="false" hidden="false" name="_local_F4" vbProcedure="false">03_Compass!$C$9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<sst xmlns="http://schemas.openxmlformats.org/spreadsheetml/2006/main" count="678" uniqueCount="472">
  <si>
    <t xml:space="preserve">Bridgewater bottom-up energy model</t>
  </si>
  <si>
    <t xml:space="preserve">Purpose</t>
  </si>
  <si>
    <t xml:space="preserve">Bottom-up calculation of Bridgewater's annual energy use, system by system, against standard convention.</t>
  </si>
  <si>
    <t xml:space="preserve">Bottom-up means no reverse-engineering from gas bills. Measured energy used only as a validation comparison.</t>
  </si>
  <si>
    <t xml:space="preserve">Methodology references — standard convention, no invented methodology</t>
  </si>
  <si>
    <t xml:space="preserve">  • ISO 52016-1:2017 — hourly heat balance, energy needs for heating and cooling against fixed setpoints</t>
  </si>
  <si>
    <t xml:space="preserve">  • CIBSE Guide A — steady-state fabric loss; CIBSE TM41 — degree-days theory and application</t>
  </si>
  <si>
    <t xml:space="preserve">  • ASHRAE Handbook of Fundamentals — heat balance method, sol-air temperature on opaque surfaces</t>
  </si>
  <si>
    <t xml:space="preserve">  • EnergyPlus Engineering Reference — Ideal Loads Air System for setpoint-anchored demand</t>
  </si>
  <si>
    <t xml:space="preserve">Convention</t>
  </si>
  <si>
    <t xml:space="preserve">Heat loss (heating-direction) = U × A × max(0, T_heat_setpoint − T_driving), integrated hourly across the year.</t>
  </si>
  <si>
    <t xml:space="preserve">Heat gain (cooling-direction) = U × A × max(0, T_driving − T_cool_setpoint), integrated hourly.</t>
  </si>
  <si>
    <t xml:space="preserve">  • T_driving = T_sol-air for opaque (walls + roof). Captures hot-air conduction AND solar-absorption-driven conduction.</t>
  </si>
  <si>
    <t xml:space="preserve">    Sol-air formula: T_sa = T_out + α × G_solar / h_out  (ASHRAE/EnergyPlus standard).</t>
  </si>
  <si>
    <t xml:space="preserve">  • T_driving = T_out for glazing conduction (no sol-air on glass).</t>
  </si>
  <si>
    <t xml:space="preserve">  • T_driving = T_out for ventilation (no sol-air on air exchange).</t>
  </si>
  <si>
    <t xml:space="preserve">Solar transmission through glazing = g_value × G_incident × A, integrated annually. Reported separately from conduction.</t>
  </si>
  <si>
    <t xml:space="preserve">Heating demand = max(0, hourly losses − hourly useful gains), summed annually.</t>
  </si>
  <si>
    <t xml:space="preserve">Cooling demand = max(0, hourly gains − hourly useful losses), summed annually.</t>
  </si>
  <si>
    <t xml:space="preserve">Two independent methods for sanity check</t>
  </si>
  <si>
    <t xml:space="preserve">Method 1 — Hourly bottom-up at 21°C setpoint (rigorous):</t>
  </si>
  <si>
    <t xml:space="preserve">    Raw fabric+vent loss = UA × Σ max(0, 21 − T_out_h) over 8760 hours</t>
  </si>
  <si>
    <t xml:space="preserve">    Then subtract useful gains explicitly → net heating demand</t>
  </si>
  <si>
    <t xml:space="preserve">Method 2 — CIBSE quick estimate via published HDD-15.5 (simplified):</t>
  </si>
  <si>
    <t xml:space="preserve">    Net heating demand ≈ UA × HDD_15.5 × 24</t>
  </si>
  <si>
    <t xml:space="preserve">    The 15.5°C cutoff is the outdoor temperature below which typical UK buildings need heat.</t>
  </si>
  <si>
    <t xml:space="preserve">    Implicitly assumes typical internal+solar gains contribution; not a physics derivation.</t>
  </si>
  <si>
    <t xml:space="preserve">Both methods should converge on net heating demand for an approximately typical building.</t>
  </si>
  <si>
    <t xml:space="preserve">Tab structure</t>
  </si>
  <si>
    <t xml:space="preserve">  01_Inputs            Single source of truth. Orange cells = editable.</t>
  </si>
  <si>
    <t xml:space="preserve">  02_Geometry          Derived areas and volumes.</t>
  </si>
  <si>
    <t xml:space="preserve">  03_Compass           Building-local facade → true compass bearing.</t>
  </si>
  <si>
    <t xml:space="preserve">  04_Weather           Yeovilton TMYx hourly statistics, baked from EPW.</t>
  </si>
  <si>
    <t xml:space="preserve">  05_Heat_Loss         Per-element heating-direction loss at heating setpoint.</t>
  </si>
  <si>
    <t xml:space="preserve">  06_Heat_Gain         Per-element cooling-direction gain (sol-air opaque) + solar transmission.</t>
  </si>
  <si>
    <t xml:space="preserve">  07_Internal_Gains    People + lighting + equipment + refrigeration.</t>
  </si>
  <si>
    <t xml:space="preserve">  08_Heat_Balance      Losses + gains → heating demand and cooling demand.</t>
  </si>
  <si>
    <t xml:space="preserve">  09_DHW               Bottom-up domestic hot water with editable ASHP/gas split.</t>
  </si>
  <si>
    <t xml:space="preserve">  10_Ventilation       WC extract + MVHR. Fan energy, HRE recovery offsetting heating.</t>
  </si>
  <si>
    <t xml:space="preserve">  11_Systems           VRF/electric heating, VRF/DX cooling. Fuel = demand ÷ efficiency.</t>
  </si>
  <si>
    <t xml:space="preserve">  12_Other_Loads       External lighting, refrigeration, lifts, pumps.</t>
  </si>
  <si>
    <t xml:space="preserve">  13_Energy_Use        Total by fuel. EUI. Carbon emissions.</t>
  </si>
  <si>
    <t xml:space="preserve">  14_Validation        Bottom-up vs measured 2024-25.</t>
  </si>
  <si>
    <t xml:space="preserve">Colour coding (matches HIX Static Model)</t>
  </si>
  <si>
    <t xml:space="preserve">   Orange fill, dark blue text  = editable input</t>
  </si>
  <si>
    <t xml:space="preserve">   Black text                   = calculation formula</t>
  </si>
  <si>
    <t xml:space="preserve">   Green text                   = cross-sheet link to another tab</t>
  </si>
  <si>
    <t xml:space="preserve">   Grey 9pt                     = note / source / reference</t>
  </si>
  <si>
    <t xml:space="preserve">Bridgewater — Inputs (orange cells editable)</t>
  </si>
  <si>
    <t xml:space="preserve">Geometry</t>
  </si>
  <si>
    <t xml:space="preserve">m</t>
  </si>
  <si>
    <t xml:space="preserve">Current Bridgewater config</t>
  </si>
  <si>
    <t xml:space="preserve">-</t>
  </si>
  <si>
    <t xml:space="preserve">Ground + 4 above (UK convention)</t>
  </si>
  <si>
    <t xml:space="preserve">°</t>
  </si>
  <si>
    <t xml:space="preserve">F1 normal at 42° CW from N → NE</t>
  </si>
  <si>
    <t xml:space="preserve">WWR per facade (building-local)</t>
  </si>
  <si>
    <t xml:space="preserve">WWR F1 (NE)</t>
  </si>
  <si>
    <t xml:space="preserve">Main facade — bedrooms</t>
  </si>
  <si>
    <t xml:space="preserve">WWR F2 (SE)</t>
  </si>
  <si>
    <t xml:space="preserve">WWR F3 (SW)</t>
  </si>
  <si>
    <t xml:space="preserve">Bedrooms</t>
  </si>
  <si>
    <t xml:space="preserve">WWR F4 (NW)</t>
  </si>
  <si>
    <t xml:space="preserve">Fabric U-values &amp; sol-air parameters</t>
  </si>
  <si>
    <t xml:space="preserve">W/m²K</t>
  </si>
  <si>
    <t xml:space="preserve">cavity_wall_enhanced</t>
  </si>
  <si>
    <t xml:space="preserve">pitched_roof_standard</t>
  </si>
  <si>
    <t xml:space="preserve">ground_floor_slab</t>
  </si>
  <si>
    <t xml:space="preserve">double_low_e</t>
  </si>
  <si>
    <t xml:space="preserve">Glazing solar transmittance</t>
  </si>
  <si>
    <t xml:space="preserve">Wall solar absorptance (ASHRAE default)</t>
  </si>
  <si>
    <t xml:space="preserve">Roof solar absorptance</t>
  </si>
  <si>
    <t xml:space="preserve">External convection h_out for sol-air</t>
  </si>
  <si>
    <t xml:space="preserve">Glazing frame fraction</t>
  </si>
  <si>
    <t xml:space="preserve">Fraction of glazing area that is frame (no solar transmission)</t>
  </si>
  <si>
    <t xml:space="preserve">Setpoints</t>
  </si>
  <si>
    <t xml:space="preserve">°C</t>
  </si>
  <si>
    <t xml:space="preserve">ISO 52016 / CIBSE convention</t>
  </si>
  <si>
    <t xml:space="preserve">Air infiltration &amp; permanent openings</t>
  </si>
  <si>
    <t xml:space="preserve">ac/h</t>
  </si>
  <si>
    <t xml:space="preserve">Background — Q50/20 typical hotel</t>
  </si>
  <si>
    <t xml:space="preserve">m²</t>
  </si>
  <si>
    <t xml:space="preserve">Triple vent louvre</t>
  </si>
  <si>
    <t xml:space="preserve">Equivalent ACH at typical site exposure</t>
  </si>
  <si>
    <t xml:space="preserve">kg/m³</t>
  </si>
  <si>
    <t xml:space="preserve">J/kg·K</t>
  </si>
  <si>
    <t xml:space="preserve">Internal gains</t>
  </si>
  <si>
    <t xml:space="preserve">person-h/yr</t>
  </si>
  <si>
    <t xml:space="preserve">138 beds × 100% × 8760 h, post-Xmas fix</t>
  </si>
  <si>
    <t xml:space="preserve">W/person</t>
  </si>
  <si>
    <t xml:space="preserve">ISO 7730 seated</t>
  </si>
  <si>
    <t xml:space="preserve">W/m²</t>
  </si>
  <si>
    <t xml:space="preserve">Occupancy sensing</t>
  </si>
  <si>
    <t xml:space="preserve">h/yr</t>
  </si>
  <si>
    <t xml:space="preserve">50% diversity</t>
  </si>
  <si>
    <t xml:space="preserve">Small power</t>
  </si>
  <si>
    <t xml:space="preserve">68% diversity</t>
  </si>
  <si>
    <t xml:space="preserve">fraction</t>
  </si>
  <si>
    <t xml:space="preserve">Useful fraction of gains for offsetting heating</t>
  </si>
  <si>
    <t xml:space="preserve">DHW — domestic hot water</t>
  </si>
  <si>
    <t xml:space="preserve">m³/yr</t>
  </si>
  <si>
    <t xml:space="preserve">Estimated true rate ~32 m³/day</t>
  </si>
  <si>
    <t xml:space="preserve">30-50% range for limited-service hotel</t>
  </si>
  <si>
    <t xml:space="preserve">UK annual mean cold mains</t>
  </si>
  <si>
    <t xml:space="preserve">Legionella compliance</t>
  </si>
  <si>
    <t xml:space="preserve">Pipe + cylinder standing 15-25%</t>
  </si>
  <si>
    <t xml:space="preserve">ASHP thermal share — editable</t>
  </si>
  <si>
    <t xml:space="preserve">Real-world DHW COP (~35K lift)</t>
  </si>
  <si>
    <t xml:space="preserve">Andrews condensing gas heater</t>
  </si>
  <si>
    <t xml:space="preserve">kWh/yr</t>
  </si>
  <si>
    <t xml:space="preserve">DHW circulation pump</t>
  </si>
  <si>
    <t xml:space="preserve">kJ/kg·K</t>
  </si>
  <si>
    <t xml:space="preserve">Mechanical ventilation</t>
  </si>
  <si>
    <t xml:space="preserve">L/s</t>
  </si>
  <si>
    <t xml:space="preserve">Always-on WC extract</t>
  </si>
  <si>
    <t xml:space="preserve">W/(L/s)</t>
  </si>
  <si>
    <t xml:space="preserve">Specific fan power</t>
  </si>
  <si>
    <t xml:space="preserve">5 units × 290 L/s</t>
  </si>
  <si>
    <t xml:space="preserve">Combined supply+extract</t>
  </si>
  <si>
    <t xml:space="preserve">Sensible recovery efficiency</t>
  </si>
  <si>
    <t xml:space="preserve">Hourly cap fraction — recovery limited by demand</t>
  </si>
  <si>
    <t xml:space="preserve">Heating &amp; cooling systems</t>
  </si>
  <si>
    <t xml:space="preserve">VRF heat recovery dual-function</t>
  </si>
  <si>
    <t xml:space="preserve">Primary</t>
  </si>
  <si>
    <t xml:space="preserve">Electric panel</t>
  </si>
  <si>
    <t xml:space="preserve">Secondary</t>
  </si>
  <si>
    <t xml:space="preserve">VRF cooling</t>
  </si>
  <si>
    <t xml:space="preserve">DX split secondary</t>
  </si>
  <si>
    <t xml:space="preserve">Other electrical loads (annual kWh)</t>
  </si>
  <si>
    <t xml:space="preserve">Walk-in fridge + minibars</t>
  </si>
  <si>
    <t xml:space="preserve">Car park + signage</t>
  </si>
  <si>
    <t xml:space="preserve">1× hydraulic lift</t>
  </si>
  <si>
    <t xml:space="preserve">Heating + chilled circulation</t>
  </si>
  <si>
    <t xml:space="preserve">Misc plant, controls, BMS</t>
  </si>
  <si>
    <t xml:space="preserve">Carbon factors</t>
  </si>
  <si>
    <t xml:space="preserve">kgCO2e/kWh</t>
  </si>
  <si>
    <t xml:space="preserve">BEIS 2024 grid average</t>
  </si>
  <si>
    <t xml:space="preserve">BEIS 2024 natural gas</t>
  </si>
  <si>
    <t xml:space="preserve">Measured energy (Home Office 2024-25 — validation only)</t>
  </si>
  <si>
    <t xml:space="preserve">MWh/yr</t>
  </si>
  <si>
    <t xml:space="preserve">Geometry — derived from inputs</t>
  </si>
  <si>
    <t xml:space="preserve">Whole-building</t>
  </si>
  <si>
    <t xml:space="preserve">GIA</t>
  </si>
  <si>
    <t xml:space="preserve">Length × Width × Floors</t>
  </si>
  <si>
    <t xml:space="preserve">Total height</t>
  </si>
  <si>
    <t xml:space="preserve">Volume</t>
  </si>
  <si>
    <t xml:space="preserve">m³</t>
  </si>
  <si>
    <t xml:space="preserve">Footprint area</t>
  </si>
  <si>
    <t xml:space="preserve">Roof / ground floor area</t>
  </si>
  <si>
    <t xml:space="preserve">Facade areas (building-local)</t>
  </si>
  <si>
    <t xml:space="preserve">Facade</t>
  </si>
  <si>
    <t xml:space="preserve">Total m²</t>
  </si>
  <si>
    <t xml:space="preserve">Glazing m²</t>
  </si>
  <si>
    <t xml:space="preserve">Opaque m²</t>
  </si>
  <si>
    <t xml:space="preserve">WWR</t>
  </si>
  <si>
    <t xml:space="preserve">Notes</t>
  </si>
  <si>
    <t xml:space="preserve">F1 (building-N → NE)</t>
  </si>
  <si>
    <t xml:space="preserve">Long facade — bedrooms</t>
  </si>
  <si>
    <t xml:space="preserve">F2 (building-E → SE)</t>
  </si>
  <si>
    <t xml:space="preserve">F3 (building-S → SW)</t>
  </si>
  <si>
    <t xml:space="preserve">F4 (building-W → NW)</t>
  </si>
  <si>
    <t xml:space="preserve">Total</t>
  </si>
  <si>
    <t xml:space="preserve">Other surfaces</t>
  </si>
  <si>
    <t xml:space="preserve">Roof area</t>
  </si>
  <si>
    <t xml:space="preserve">Footprint</t>
  </si>
  <si>
    <t xml:space="preserve">Ground floor area</t>
  </si>
  <si>
    <t xml:space="preserve">Compass — building-local to true bearing</t>
  </si>
  <si>
    <t xml:space="preserve">Facade bearings (CW from N)</t>
  </si>
  <si>
    <t xml:space="preserve">Local offset °</t>
  </si>
  <si>
    <t xml:space="preserve">True bearing °</t>
  </si>
  <si>
    <t xml:space="preserve">Nearest compass</t>
  </si>
  <si>
    <t xml:space="preserve">F1 (building-N)</t>
  </si>
  <si>
    <t xml:space="preserve">F2 (building-E)</t>
  </si>
  <si>
    <t xml:space="preserve">F3 (building-S)</t>
  </si>
  <si>
    <t xml:space="preserve">F4 (building-W)</t>
  </si>
  <si>
    <t xml:space="preserve">Bridgewater orientation summary</t>
  </si>
  <si>
    <t xml:space="preserve">Orientation (CW from N)</t>
  </si>
  <si>
    <t xml:space="preserve">With 42° orientation, F1 faces NE, F3 faces SW — matches Yeovilton solar projector</t>
  </si>
  <si>
    <t xml:space="preserve">Weather — Yeovilton TMYx 2011-2025 (from EPW)</t>
  </si>
  <si>
    <t xml:space="preserve">Site &amp; summary</t>
  </si>
  <si>
    <t xml:space="preserve">EPW file</t>
  </si>
  <si>
    <t xml:space="preserve">GBR_ENG_Yeovilton.AF.038530_TMYx.2011-2025</t>
  </si>
  <si>
    <t xml:space="preserve">Source: climate.onebuilding.org</t>
  </si>
  <si>
    <t xml:space="preserve">Location</t>
  </si>
  <si>
    <t xml:space="preserve">Yeovilton AF, Somerset</t>
  </si>
  <si>
    <t xml:space="preserve">51.006°N, 2.643°W, 22.9m</t>
  </si>
  <si>
    <t xml:space="preserve">Annual mean outdoor T</t>
  </si>
  <si>
    <t xml:space="preserve">From EPW hourly mean</t>
  </si>
  <si>
    <t xml:space="preserve">Summer max</t>
  </si>
  <si>
    <t xml:space="preserve">Annual peak hour</t>
  </si>
  <si>
    <t xml:space="preserve">Winter min</t>
  </si>
  <si>
    <t xml:space="preserve">Annual min hour</t>
  </si>
  <si>
    <t xml:space="preserve">Mean wind speed</t>
  </si>
  <si>
    <t xml:space="preserve">m/s</t>
  </si>
  <si>
    <t xml:space="preserve">Heating Degree Days (published convention)</t>
  </si>
  <si>
    <t xml:space="preserve">HDD-15.5 from EPW daily-mean method. Published UK convention metric.</t>
  </si>
  <si>
    <t xml:space="preserve">HDD base 15.5°C (annual)</t>
  </si>
  <si>
    <t xml:space="preserve">K·day/yr</t>
  </si>
  <si>
    <t xml:space="preserve">Sum of (15.5 − T_out_daily_mean) when positive</t>
  </si>
  <si>
    <t xml:space="preserve">HDD base 18.5°C (annual)</t>
  </si>
  <si>
    <t xml:space="preserve">Hourly heating temperature integral against 21°C setpoint</t>
  </si>
  <si>
    <t xml:space="preserve">K·h/yr</t>
  </si>
  <si>
    <t xml:space="preserve">Σ max(0, 21 − T_out_h) over 8760 hours</t>
  </si>
  <si>
    <t xml:space="preserve">Hourly cooling temperature integral against 25°C setpoint</t>
  </si>
  <si>
    <t xml:space="preserve">Σ max(0, T_out_h − 25) over 8760 hours</t>
  </si>
  <si>
    <t xml:space="preserve">Ground temperature (annual mean proxy)</t>
  </si>
  <si>
    <t xml:space="preserve">Hourly ground floor integral (21°C setpoint − ground T)</t>
  </si>
  <si>
    <t xml:space="preserve">(21 − 11.26) × 8760, ground assumed at annual mean</t>
  </si>
  <si>
    <t xml:space="preserve">Solar — annual incident per surface (kWh/m²/yr)</t>
  </si>
  <si>
    <t xml:space="preserve">Surface</t>
  </si>
  <si>
    <t xml:space="preserve">Annual incident kWh/m²</t>
  </si>
  <si>
    <t xml:space="preserve">F1 (NE)</t>
  </si>
  <si>
    <t xml:space="preserve">kWh/m²</t>
  </si>
  <si>
    <t xml:space="preserve">Building-local north, faces NE</t>
  </si>
  <si>
    <t xml:space="preserve">F2 (SE)</t>
  </si>
  <si>
    <t xml:space="preserve">Building-local east, faces SE</t>
  </si>
  <si>
    <t xml:space="preserve">F3 (SW)</t>
  </si>
  <si>
    <t xml:space="preserve">Building-local south, faces SW — peak</t>
  </si>
  <si>
    <t xml:space="preserve">F4 (NW)</t>
  </si>
  <si>
    <t xml:space="preserve">Building-local west, faces NW</t>
  </si>
  <si>
    <t xml:space="preserve">Roof (horizontal)</t>
  </si>
  <si>
    <t xml:space="preserve">Global horizontal</t>
  </si>
  <si>
    <t xml:space="preserve">Sol-air integrals (precomputed from EPW + facade solar)</t>
  </si>
  <si>
    <t xml:space="preserve">Hourly Σ max(0, 21 − T_sa_h) for heating, Σ max(0, T_sa_h − 25) for cooling. K·h/yr.</t>
  </si>
  <si>
    <t xml:space="preserve">Heating integral K·h/yr</t>
  </si>
  <si>
    <t xml:space="preserve">Cooling integral K·h/yr</t>
  </si>
  <si>
    <t xml:space="preserve">F1 (NE wall, α=0.6)</t>
  </si>
  <si>
    <t xml:space="preserve">F2 (SE wall, α=0.6)</t>
  </si>
  <si>
    <t xml:space="preserve">F3 (SW wall, α=0.6)</t>
  </si>
  <si>
    <t xml:space="preserve">F4 (NW wall, α=0.6)</t>
  </si>
  <si>
    <t xml:space="preserve">Roof (horizontal, α=0.7)</t>
  </si>
  <si>
    <t xml:space="preserve">Largest cooling-direction integral</t>
  </si>
  <si>
    <t xml:space="preserve">Heat loss — heating-direction at 21°C setpoint</t>
  </si>
  <si>
    <t xml:space="preserve">Heat loss = U × A × hourly_integral / 1000  (kWh/yr). Sol-air for opaque, T_out for glazing &amp; ventilation.</t>
  </si>
  <si>
    <t xml:space="preserve">Fabric — opaque (sol-air convention)</t>
  </si>
  <si>
    <t xml:space="preserve">Element</t>
  </si>
  <si>
    <t xml:space="preserve">U W/m²K</t>
  </si>
  <si>
    <t xml:space="preserve">Area m²</t>
  </si>
  <si>
    <t xml:space="preserve">External wall F1 (NE)</t>
  </si>
  <si>
    <t xml:space="preserve">Sol-air on opaque</t>
  </si>
  <si>
    <t xml:space="preserve">External wall F2 (SE)</t>
  </si>
  <si>
    <t xml:space="preserve">External wall F3 (SW)</t>
  </si>
  <si>
    <t xml:space="preserve">External wall F4 (NW)</t>
  </si>
  <si>
    <t xml:space="preserve">Roof</t>
  </si>
  <si>
    <t xml:space="preserve">Fabric — glazing (T_out convention)</t>
  </si>
  <si>
    <t xml:space="preserve">Glazing F1</t>
  </si>
  <si>
    <t xml:space="preserve">No sol-air on glass</t>
  </si>
  <si>
    <t xml:space="preserve">Glazing F2</t>
  </si>
  <si>
    <t xml:space="preserve">Glazing F3</t>
  </si>
  <si>
    <t xml:space="preserve">Glazing F4</t>
  </si>
  <si>
    <t xml:space="preserve">Ground floor (ground T convention)</t>
  </si>
  <si>
    <t xml:space="preserve">Ground floor</t>
  </si>
  <si>
    <t xml:space="preserve">Constant ground T (annual mean)</t>
  </si>
  <si>
    <t xml:space="preserve">Ventilation (T_out convention)</t>
  </si>
  <si>
    <t xml:space="preserve">Source</t>
  </si>
  <si>
    <t xml:space="preserve">UA W/K</t>
  </si>
  <si>
    <t xml:space="preserve">—</t>
  </si>
  <si>
    <t xml:space="preserve">Background infiltration</t>
  </si>
  <si>
    <t xml:space="preserve">ACH × Vol × ρ × Cp / 3600</t>
  </si>
  <si>
    <t xml:space="preserve">Permanent vents (NE+SW louvres)</t>
  </si>
  <si>
    <t xml:space="preserve">Equivalent ACH at louvre exposure</t>
  </si>
  <si>
    <t xml:space="preserve">Total heat loss</t>
  </si>
  <si>
    <t xml:space="preserve">TOTAL fabric + ventilation loss at 21°C setpoint</t>
  </si>
  <si>
    <t xml:space="preserve">Raw envelope loss before gains credit</t>
  </si>
  <si>
    <t xml:space="preserve">Sanity check — CIBSE simplified method</t>
  </si>
  <si>
    <t xml:space="preserve">UA × HDD-15.5 × 24 — rule-of-thumb estimate of NET heating demand for typical building.</t>
  </si>
  <si>
    <t xml:space="preserve">Differs from gross loss above because 15.5°C cutoff implicitly includes typical gains contribution.</t>
  </si>
  <si>
    <t xml:space="preserve">UA total</t>
  </si>
  <si>
    <t xml:space="preserve">W/K</t>
  </si>
  <si>
    <t xml:space="preserve">CIBSE quick estimate = UA × HDD-15.5 × 24</t>
  </si>
  <si>
    <t xml:space="preserve">Sanity check only — net demand estimate</t>
  </si>
  <si>
    <t xml:space="preserve">Heat gain — cooling-direction at 25°C setpoint + solar transmission</t>
  </si>
  <si>
    <t xml:space="preserve">Heat gain = U × A × hourly_integral / 1000 (kWh/yr). Sol-air for opaque. Glazing solar transmission separate.</t>
  </si>
  <si>
    <t xml:space="preserve">Fabric — opaque cooling-direction (sol-air)</t>
  </si>
  <si>
    <t xml:space="preserve">External wall F1 (sol-air)</t>
  </si>
  <si>
    <t xml:space="preserve">External wall F2 (sol-air)</t>
  </si>
  <si>
    <t xml:space="preserve">External wall F3 (sol-air)</t>
  </si>
  <si>
    <t xml:space="preserve">External wall F4 (sol-air)</t>
  </si>
  <si>
    <t xml:space="preserve">Roof (sol-air)</t>
  </si>
  <si>
    <t xml:space="preserve">Glazing conduction (T_out convention)</t>
  </si>
  <si>
    <t xml:space="preserve">Glazing F1 (conduction)</t>
  </si>
  <si>
    <t xml:space="preserve">Glazing F2 (conduction)</t>
  </si>
  <si>
    <t xml:space="preserve">Glazing F3 (conduction)</t>
  </si>
  <si>
    <t xml:space="preserve">Glazing F4 (conduction)</t>
  </si>
  <si>
    <t xml:space="preserve">Solar transmission through glazing (g × G × A)</t>
  </si>
  <si>
    <t xml:space="preserve">g-value</t>
  </si>
  <si>
    <t xml:space="preserve">Solar kWh/m²</t>
  </si>
  <si>
    <t xml:space="preserve">Solar transmission F1</t>
  </si>
  <si>
    <t xml:space="preserve">Always-on, integrated annually</t>
  </si>
  <si>
    <t xml:space="preserve">Solar transmission F2</t>
  </si>
  <si>
    <t xml:space="preserve">Solar transmission F3</t>
  </si>
  <si>
    <t xml:space="preserve">Solar transmission F4</t>
  </si>
  <si>
    <t xml:space="preserve">Ventilation cooling gain (infil + perm)</t>
  </si>
  <si>
    <t xml:space="preserve">Totals</t>
  </si>
  <si>
    <t xml:space="preserve">Total opaque cooling-direction conduction (sol-air)</t>
  </si>
  <si>
    <t xml:space="preserve">Total glazing conduction (cooling-direction)</t>
  </si>
  <si>
    <t xml:space="preserve">Total solar transmission through glazing (always-on)</t>
  </si>
  <si>
    <t xml:space="preserve">Total ventilation cooling-direction gain</t>
  </si>
  <si>
    <t xml:space="preserve">GRAND TOTAL fabric+vent cooling gain at 25°C setpoint (excl. solar transmission)</t>
  </si>
  <si>
    <t xml:space="preserve">Plus solar transmission acts as cooling gain when zone above setpoint</t>
  </si>
  <si>
    <t xml:space="preserve">Solar through glazing — usefulness split (option c hourly net balance)</t>
  </si>
  <si>
    <t xml:space="preserve">Per-hour net balance via option (c). Beneficial = offsets heating demand. Cooling = pushes net balance into cooling-positive. Shoulder = neither.</t>
  </si>
  <si>
    <t xml:space="preserve">Total kWh</t>
  </si>
  <si>
    <t xml:space="preserve">Beneficial kWh</t>
  </si>
  <si>
    <t xml:space="preserve">Cooling kWh</t>
  </si>
  <si>
    <t xml:space="preserve">Shoulder kWh</t>
  </si>
  <si>
    <t xml:space="preserve">Beneficial %</t>
  </si>
  <si>
    <t xml:space="preserve">Solar split F1</t>
  </si>
  <si>
    <t xml:space="preserve">NE — largest glazing area (517 m²), low direct-sun fraction</t>
  </si>
  <si>
    <t xml:space="preserve">Solar split F2</t>
  </si>
  <si>
    <t xml:space="preserve">SE — small glazing (5 m²)</t>
  </si>
  <si>
    <t xml:space="preserve">Solar split F3</t>
  </si>
  <si>
    <t xml:space="preserve">SW — best solar potential per m², small area (113 m²)</t>
  </si>
  <si>
    <t xml:space="preserve">Solar split F4</t>
  </si>
  <si>
    <t xml:space="preserve">NW — small glazing (5 m²)</t>
  </si>
  <si>
    <t xml:space="preserve">TOTAL</t>
  </si>
  <si>
    <t xml:space="preserve">Static values above (not formulas) — precomputed from EPW via option (c) hourly net balance. Same EPW the engine uses. To re-run for different setpoints/fabric, re-run /tmp/_solar_split.py.</t>
  </si>
  <si>
    <t xml:space="preserve">Internal gains — heat into zone from occupants, lighting, equipment</t>
  </si>
  <si>
    <t xml:space="preserve">Annual internal gains by source</t>
  </si>
  <si>
    <t xml:space="preserve">Sensible W</t>
  </si>
  <si>
    <t xml:space="preserve">Hours h/yr</t>
  </si>
  <si>
    <t xml:space="preserve">People (occupants)</t>
  </si>
  <si>
    <t xml:space="preserve">Engine State 2 integration with 1.5/room canonical density</t>
  </si>
  <si>
    <t xml:space="preserve">Lighting</t>
  </si>
  <si>
    <t xml:space="preserve">Engine State 2 integration, current LPD 1.5 W/m² (flagged for BRUKL ingestion)</t>
  </si>
  <si>
    <t xml:space="preserve">Equipment (small power)</t>
  </si>
  <si>
    <t xml:space="preserve">Engine State 2 integration, current EPD 1.5 W/m² peak (flagged)</t>
  </si>
  <si>
    <t xml:space="preserve">Refrigeration waste heat</t>
  </si>
  <si>
    <t xml:space="preserve">Total electric input becomes heat in space eventually</t>
  </si>
  <si>
    <t xml:space="preserve">DHW distribution losses (contribute to internal gain)</t>
  </si>
  <si>
    <t xml:space="preserve">Pipe + cylinder losses → space heat</t>
  </si>
  <si>
    <t xml:space="preserve">TOTAL internal gains</t>
  </si>
  <si>
    <t xml:space="preserve">Useful gain fraction for heating offset</t>
  </si>
  <si>
    <t xml:space="preserve">Not all gains usefully offset heating — utilisation factor accounts for timing mismatch.</t>
  </si>
  <si>
    <t xml:space="preserve">Useful fraction (heating season)</t>
  </si>
  <si>
    <t xml:space="preserve">ISO 13790-style; default 0.45</t>
  </si>
  <si>
    <t xml:space="preserve">Useful internal gains for heating offset</t>
  </si>
  <si>
    <t xml:space="preserve">Useful solar gains for heating offset</t>
  </si>
  <si>
    <t xml:space="preserve">~35% of annual solar is heating-season useful</t>
  </si>
  <si>
    <t xml:space="preserve">Heat balance — losses vs gains → heating + cooling demand</t>
  </si>
  <si>
    <t xml:space="preserve">Heating-direction balance (against 21°C setpoint)</t>
  </si>
  <si>
    <t xml:space="preserve">Component</t>
  </si>
  <si>
    <t xml:space="preserve">% of loss</t>
  </si>
  <si>
    <t xml:space="preserve">Total fabric + vent heat loss (raw)</t>
  </si>
  <si>
    <t xml:space="preserve">From 05_Heat_Loss</t>
  </si>
  <si>
    <t xml:space="preserve">Less: useful internal gains</t>
  </si>
  <si>
    <t xml:space="preserve">Less: useful solar gains</t>
  </si>
  <si>
    <t xml:space="preserve">Less: MVHR heat recovery (effective)</t>
  </si>
  <si>
    <t xml:space="preserve">Hourly cap × HRE — from 10_Ventilation</t>
  </si>
  <si>
    <t xml:space="preserve">NET HEATING DEMAND</t>
  </si>
  <si>
    <t xml:space="preserve">Cooling-direction balance (against 25°C setpoint)</t>
  </si>
  <si>
    <t xml:space="preserve">Share</t>
  </si>
  <si>
    <t xml:space="preserve">Fabric + vent cooling gain (sol-air, conduction)</t>
  </si>
  <si>
    <t xml:space="preserve">Solar transmission through glazing (cooling-season fraction)</t>
  </si>
  <si>
    <t xml:space="preserve">~45% of annual solar lands when zone above cooling setpoint</t>
  </si>
  <si>
    <t xml:space="preserve">Internal gains during cooling hours</t>
  </si>
  <si>
    <t xml:space="preserve">NET COOLING DEMAND</t>
  </si>
  <si>
    <t xml:space="preserve">Sanity check — CIBSE quick estimate vs bottom-up</t>
  </si>
  <si>
    <t xml:space="preserve">Bottom-up net heating demand (above)</t>
  </si>
  <si>
    <t xml:space="preserve">CIBSE quick estimate (UA × HDD-15.5 × 24)</t>
  </si>
  <si>
    <t xml:space="preserve">Rule-of-thumb, implicit gains in 15.5°C cutoff</t>
  </si>
  <si>
    <t xml:space="preserve">Δ (bottom-up vs CIBSE)</t>
  </si>
  <si>
    <t xml:space="preserve">Should be small for typical building; large delta = atypical gain profile</t>
  </si>
  <si>
    <t xml:space="preserve">Domestic hot water — bottom-up by system</t>
  </si>
  <si>
    <t xml:space="preserve">Step 1 — Thermal demand from water volume</t>
  </si>
  <si>
    <t xml:space="preserve">Total water consumption</t>
  </si>
  <si>
    <t xml:space="preserve">Hot water fraction</t>
  </si>
  <si>
    <t xml:space="preserve">Hot water volume</t>
  </si>
  <si>
    <t xml:space="preserve">Hot water mass</t>
  </si>
  <si>
    <t xml:space="preserve">kg/yr</t>
  </si>
  <si>
    <t xml:space="preserve">Temperature lift (cold → delivery)</t>
  </si>
  <si>
    <t xml:space="preserve">Gross thermal demand</t>
  </si>
  <si>
    <t xml:space="preserve">Distribution + standing losses</t>
  </si>
  <si>
    <t xml:space="preserve">Pipe + cylinder; contributes back to internal gain</t>
  </si>
  <si>
    <t xml:space="preserve">Total thermal input needed</t>
  </si>
  <si>
    <t xml:space="preserve">Step 2 — Energy by system (editable ASHP/gas split)</t>
  </si>
  <si>
    <t xml:space="preserve">Thermal kWh/yr</t>
  </si>
  <si>
    <t xml:space="preserve">Efficiency</t>
  </si>
  <si>
    <t xml:space="preserve">Fuel kWh/yr</t>
  </si>
  <si>
    <t xml:space="preserve">ASHP (electric)</t>
  </si>
  <si>
    <t xml:space="preserve">Toshiba R32 hybrid pre-heat</t>
  </si>
  <si>
    <t xml:space="preserve">Gas heater</t>
  </si>
  <si>
    <t xml:space="preserve">Andrews condensing top-up</t>
  </si>
  <si>
    <t xml:space="preserve">DHW circulation pump (electric)</t>
  </si>
  <si>
    <t xml:space="preserve">Continuous low-power</t>
  </si>
  <si>
    <t xml:space="preserve">Total DHW electricity (ASHP + pump)</t>
  </si>
  <si>
    <t xml:space="preserve">Total DHW gas</t>
  </si>
  <si>
    <t xml:space="preserve">Check vs measured gas (200 MWh)</t>
  </si>
  <si>
    <t xml:space="preserve">Measured gas ~200 MWh; if close → split is consistent</t>
  </si>
  <si>
    <t xml:space="preserve">Mechanical ventilation — fans + heat recovery</t>
  </si>
  <si>
    <t xml:space="preserve">Fan electrical energy</t>
  </si>
  <si>
    <t xml:space="preserve">System</t>
  </si>
  <si>
    <t xml:space="preserve">Flow L/s</t>
  </si>
  <si>
    <t xml:space="preserve">SFP W/(L/s)</t>
  </si>
  <si>
    <t xml:space="preserve">WC extract fan (no HR)</t>
  </si>
  <si>
    <t xml:space="preserve">MVHR fan</t>
  </si>
  <si>
    <t xml:space="preserve">Total fan electricity</t>
  </si>
  <si>
    <t xml:space="preserve">MVHR heat recovery (sensible)</t>
  </si>
  <si>
    <t xml:space="preserve">Value</t>
  </si>
  <si>
    <t xml:space="preserve">Units</t>
  </si>
  <si>
    <t xml:space="preserve">MVHR mass flow rate</t>
  </si>
  <si>
    <t xml:space="preserve">kg/s</t>
  </si>
  <si>
    <t xml:space="preserve">Theoretical max recovery (HRE × m_dot × Cp × ΔT_integral)</t>
  </si>
  <si>
    <t xml:space="preserve">If unlimited heating demand to recover into</t>
  </si>
  <si>
    <t xml:space="preserve">Effective recovery (capped by heating need per hour)</t>
  </si>
  <si>
    <t xml:space="preserve">Brief 28j-style hourly cap</t>
  </si>
  <si>
    <t xml:space="preserve">Heating &amp; cooling systems — fuel from demand</t>
  </si>
  <si>
    <t xml:space="preserve">Space heating</t>
  </si>
  <si>
    <t xml:space="preserve">VRF heating (primary, electric)</t>
  </si>
  <si>
    <t xml:space="preserve">Electric panel (secondary)</t>
  </si>
  <si>
    <t xml:space="preserve">Total heating electricity</t>
  </si>
  <si>
    <t xml:space="preserve">Space cooling</t>
  </si>
  <si>
    <t xml:space="preserve">VRF cooling (primary)</t>
  </si>
  <si>
    <t xml:space="preserve">DX split (secondary)</t>
  </si>
  <si>
    <t xml:space="preserve">Total cooling electricity</t>
  </si>
  <si>
    <t xml:space="preserve">Other electrical loads — refrigeration, lighting, lifts, pumps</t>
  </si>
  <si>
    <t xml:space="preserve">Annual electrical consumption</t>
  </si>
  <si>
    <t xml:space="preserve">Load</t>
  </si>
  <si>
    <t xml:space="preserve">Lighting (internal)</t>
  </si>
  <si>
    <t xml:space="preserve">From 07_Internal_Gains</t>
  </si>
  <si>
    <t xml:space="preserve">Refrigeration</t>
  </si>
  <si>
    <t xml:space="preserve">External lighting</t>
  </si>
  <si>
    <t xml:space="preserve">Lifts</t>
  </si>
  <si>
    <t xml:space="preserve">1× hydraulic</t>
  </si>
  <si>
    <t xml:space="preserve">Pumps</t>
  </si>
  <si>
    <t xml:space="preserve">Other miscellaneous</t>
  </si>
  <si>
    <t xml:space="preserve">BMS, controls, plant</t>
  </si>
  <si>
    <t xml:space="preserve">Total other loads</t>
  </si>
  <si>
    <t xml:space="preserve">Total energy use — by fuel, EUI, carbon</t>
  </si>
  <si>
    <t xml:space="preserve">Electricity — by end use</t>
  </si>
  <si>
    <t xml:space="preserve">End use</t>
  </si>
  <si>
    <t xml:space="preserve">% of elec</t>
  </si>
  <si>
    <t xml:space="preserve">Space heating (VRF + panel)</t>
  </si>
  <si>
    <t xml:space="preserve">Space cooling (VRF + DX)</t>
  </si>
  <si>
    <t xml:space="preserve">DHW (ASHP + pump)</t>
  </si>
  <si>
    <t xml:space="preserve">Ventilation fans</t>
  </si>
  <si>
    <t xml:space="preserve">Pumps (non-DHW)</t>
  </si>
  <si>
    <t xml:space="preserve">Other (BMS, controls)</t>
  </si>
  <si>
    <t xml:space="preserve">TOTAL ELECTRICITY</t>
  </si>
  <si>
    <t xml:space="preserve">Gas — by end use</t>
  </si>
  <si>
    <t xml:space="preserve">% of gas</t>
  </si>
  <si>
    <t xml:space="preserve">DHW (gas heater)</t>
  </si>
  <si>
    <t xml:space="preserve">TOTAL GAS</t>
  </si>
  <si>
    <t xml:space="preserve">Summary — total, EUI, carbon</t>
  </si>
  <si>
    <t xml:space="preserve">Metric</t>
  </si>
  <si>
    <t xml:space="preserve">Total electricity</t>
  </si>
  <si>
    <t xml:space="preserve">Total gas</t>
  </si>
  <si>
    <t xml:space="preserve">Total site energy</t>
  </si>
  <si>
    <t xml:space="preserve">EUI (per m² GIA)</t>
  </si>
  <si>
    <t xml:space="preserve">Carbon — electricity</t>
  </si>
  <si>
    <t xml:space="preserve">t CO2e/yr</t>
  </si>
  <si>
    <t xml:space="preserve">Carbon — gas</t>
  </si>
  <si>
    <t xml:space="preserve">Total carbon</t>
  </si>
  <si>
    <t xml:space="preserve">Carbon intensity per m² GIA</t>
  </si>
  <si>
    <t xml:space="preserve">kgCO2e/m²</t>
  </si>
  <si>
    <t xml:space="preserve">Validation — bottom-up vs measured</t>
  </si>
  <si>
    <t xml:space="preserve">Bottom-up vs measured (Home Office 2024-25)</t>
  </si>
  <si>
    <t xml:space="preserve">Bottom-up</t>
  </si>
  <si>
    <t xml:space="preserve">Measured</t>
  </si>
  <si>
    <t xml:space="preserve">Δ</t>
  </si>
  <si>
    <t xml:space="preserve">Δ %</t>
  </si>
  <si>
    <t xml:space="preserve">PASS/FAIL ±15%</t>
  </si>
  <si>
    <t xml:space="preserve">Electricity MWh/yr</t>
  </si>
  <si>
    <t xml:space="preserve">Gas MWh/yr</t>
  </si>
  <si>
    <t xml:space="preserve">EUI kWh/m²</t>
  </si>
  <si>
    <t xml:space="preserve">Per-component sanity checks</t>
  </si>
  <si>
    <t xml:space="preserve">Bottom-up MWh/yr</t>
  </si>
  <si>
    <t xml:space="preserve">Total fabric+vent heat loss (gross)</t>
  </si>
  <si>
    <t xml:space="preserve">Validation target for Brief 28k engine fix</t>
  </si>
  <si>
    <t xml:space="preserve">Net heating demand (after gains)</t>
  </si>
  <si>
    <t xml:space="preserve">Net cooling demand</t>
  </si>
  <si>
    <t xml:space="preserve">Rule-of-thumb sanity check on net heating demand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</si>
</sst>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.00"/>
    <numFmt numFmtId="166" formatCode="0.000"/>
    <numFmt numFmtId="167" formatCode="0.00"/>
    <numFmt numFmtId="168" formatCode="#,##0"/>
    <numFmt numFmtId="169" formatCode="0.0"/>
    <numFmt numFmtId="170" formatCode="0.0%"/>
    <numFmt numFmtId="171" formatCode="0"/>
    <numFmt numFmtId="172" formatCode="#,##0.0"/>
    <numFmt numFmtId="173" formatCode="\-#,##0"/>
    <numFmt numFmtId="174" formatCode="\-0.0%"/>
    <numFmt numFmtId="175" formatCode="\+#,##0;\-#,##0;0"/>
    <numFmt numFmtId="176" formatCode="\+0.0;\-0.0;0"/>
    <numFmt numFmtId="177" formatCode="\+0.0%;\-0.0%;0%"/>
    <numFmt numFmtId="178" formatCode="\+0;\-0;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FFFFFF"/>
      <name val="Gill Sans MT"/>
      <family val="0"/>
      <charset val="1"/>
    </font>
    <font>
      <b val="true"/>
      <sz val="10"/>
      <name val="Gill Sans MT"/>
      <family val="0"/>
      <charset val="1"/>
    </font>
    <font>
      <sz val="10"/>
      <name val="Gill Sans MT"/>
      <family val="0"/>
      <charset val="1"/>
    </font>
    <font>
      <sz val="10"/>
      <color rgb="FF3F3F76"/>
      <name val="Gill Sans MT"/>
      <family val="0"/>
      <charset val="1"/>
    </font>
    <font>
      <sz val="9"/>
      <color rgb="FF7F7F7F"/>
      <name val="Gill Sans MT"/>
      <family val="0"/>
      <charset val="1"/>
    </font>
    <font>
      <sz val="10"/>
      <color rgb="FF006100"/>
      <name val="Gill Sans MT"/>
      <family val="0"/>
      <charset val="1"/>
    </font>
    <font>
      <b val="true"/>
      <sz val="10"/>
      <color rgb="FF006100"/>
      <name val="Gill Sans MT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A5A5A"/>
        <bgColor rgb="FF3F3F76"/>
      </patternFill>
    </fill>
    <fill>
      <patternFill patternType="solid">
        <fgColor rgb="FFFFCC99"/>
        <bgColor rgb="FFC0C0C0"/>
      </patternFill>
    </fill>
    <fill>
      <patternFill patternType="solid">
        <fgColor rgb="FFF2F2F2"/>
        <bgColor rgb="FFF8F8F8"/>
      </patternFill>
    </fill>
    <fill>
      <patternFill patternType="solid">
        <fgColor rgb="FFF8F8F8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8F8F8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10"/>
  </cols>
  <sheetData>
    <row r="2" customFormat="false" ht="27.75" hidden="false" customHeight="true" outlineLevel="0" collapsed="false">
      <c r="B2" s="2" t="s">
        <v>0</v>
      </c>
      <c r="C2" s="3"/>
    </row>
    <row r="5" customFormat="false" ht="15" hidden="false" customHeight="true" outlineLevel="0" collapsed="false">
      <c r="B5" s="4" t="s">
        <v>1</v>
      </c>
    </row>
    <row r="6" customFormat="false" ht="15" hidden="false" customHeight="true" outlineLevel="0" collapsed="false">
      <c r="B6" s="5" t="s">
        <v>2</v>
      </c>
    </row>
    <row r="7" customFormat="false" ht="15" hidden="false" customHeight="true" outlineLevel="0" collapsed="false">
      <c r="B7" s="5" t="s">
        <v>3</v>
      </c>
    </row>
    <row r="9" customFormat="false" ht="15" hidden="false" customHeight="true" outlineLevel="0" collapsed="false">
      <c r="B9" s="4" t="s">
        <v>4</v>
      </c>
    </row>
    <row r="10" customFormat="false" ht="15" hidden="false" customHeight="true" outlineLevel="0" collapsed="false">
      <c r="B10" s="5" t="s">
        <v>5</v>
      </c>
    </row>
    <row r="11" customFormat="false" ht="15" hidden="false" customHeight="true" outlineLevel="0" collapsed="false">
      <c r="B11" s="5" t="s">
        <v>6</v>
      </c>
    </row>
    <row r="12" customFormat="false" ht="15" hidden="false" customHeight="true" outlineLevel="0" collapsed="false">
      <c r="B12" s="5" t="s">
        <v>7</v>
      </c>
    </row>
    <row r="13" customFormat="false" ht="15" hidden="false" customHeight="true" outlineLevel="0" collapsed="false">
      <c r="B13" s="5" t="s">
        <v>8</v>
      </c>
    </row>
    <row r="15" customFormat="false" ht="15" hidden="false" customHeight="true" outlineLevel="0" collapsed="false">
      <c r="B15" s="4" t="s">
        <v>9</v>
      </c>
    </row>
    <row r="16" customFormat="false" ht="15" hidden="false" customHeight="true" outlineLevel="0" collapsed="false">
      <c r="B16" s="5" t="s">
        <v>10</v>
      </c>
    </row>
    <row r="17" customFormat="false" ht="15" hidden="false" customHeight="true" outlineLevel="0" collapsed="false">
      <c r="B17" s="5" t="s">
        <v>11</v>
      </c>
    </row>
    <row r="18" customFormat="false" ht="15" hidden="false" customHeight="true" outlineLevel="0" collapsed="false">
      <c r="B18" s="5" t="s">
        <v>12</v>
      </c>
    </row>
    <row r="19" customFormat="false" ht="15" hidden="false" customHeight="true" outlineLevel="0" collapsed="false">
      <c r="B19" s="5" t="s">
        <v>13</v>
      </c>
    </row>
    <row r="20" customFormat="false" ht="15" hidden="false" customHeight="true" outlineLevel="0" collapsed="false">
      <c r="B20" s="5" t="s">
        <v>14</v>
      </c>
    </row>
    <row r="21" customFormat="false" ht="15" hidden="false" customHeight="true" outlineLevel="0" collapsed="false">
      <c r="B21" s="5" t="s">
        <v>15</v>
      </c>
    </row>
    <row r="22" customFormat="false" ht="15" hidden="false" customHeight="true" outlineLevel="0" collapsed="false">
      <c r="B22" s="5" t="s">
        <v>16</v>
      </c>
    </row>
    <row r="23" customFormat="false" ht="15" hidden="false" customHeight="true" outlineLevel="0" collapsed="false">
      <c r="B23" s="5" t="s">
        <v>17</v>
      </c>
    </row>
    <row r="24" customFormat="false" ht="15" hidden="false" customHeight="true" outlineLevel="0" collapsed="false">
      <c r="B24" s="5" t="s">
        <v>18</v>
      </c>
    </row>
    <row r="26" customFormat="false" ht="15" hidden="false" customHeight="true" outlineLevel="0" collapsed="false">
      <c r="B26" s="4" t="s">
        <v>19</v>
      </c>
    </row>
    <row r="27" customFormat="false" ht="15" hidden="false" customHeight="true" outlineLevel="0" collapsed="false">
      <c r="B27" s="5" t="s">
        <v>20</v>
      </c>
    </row>
    <row r="28" customFormat="false" ht="15" hidden="false" customHeight="true" outlineLevel="0" collapsed="false">
      <c r="B28" s="5" t="s">
        <v>21</v>
      </c>
    </row>
    <row r="29" customFormat="false" ht="15" hidden="false" customHeight="true" outlineLevel="0" collapsed="false">
      <c r="B29" s="5" t="s">
        <v>22</v>
      </c>
    </row>
    <row r="30" customFormat="false" ht="15" hidden="false" customHeight="true" outlineLevel="0" collapsed="false">
      <c r="B30" s="5" t="s">
        <v>23</v>
      </c>
    </row>
    <row r="31" customFormat="false" ht="15" hidden="false" customHeight="true" outlineLevel="0" collapsed="false">
      <c r="B31" s="5" t="s">
        <v>24</v>
      </c>
    </row>
    <row r="32" customFormat="false" ht="15" hidden="false" customHeight="true" outlineLevel="0" collapsed="false">
      <c r="B32" s="5" t="s">
        <v>25</v>
      </c>
    </row>
    <row r="33" customFormat="false" ht="15" hidden="false" customHeight="true" outlineLevel="0" collapsed="false">
      <c r="B33" s="5" t="s">
        <v>26</v>
      </c>
    </row>
    <row r="34" customFormat="false" ht="15" hidden="false" customHeight="true" outlineLevel="0" collapsed="false">
      <c r="B34" s="5" t="s">
        <v>27</v>
      </c>
    </row>
    <row r="36" customFormat="false" ht="15" hidden="false" customHeight="true" outlineLevel="0" collapsed="false">
      <c r="B36" s="4" t="s">
        <v>28</v>
      </c>
    </row>
    <row r="37" customFormat="false" ht="15" hidden="false" customHeight="true" outlineLevel="0" collapsed="false">
      <c r="B37" s="5" t="s">
        <v>29</v>
      </c>
    </row>
    <row r="38" customFormat="false" ht="15" hidden="false" customHeight="true" outlineLevel="0" collapsed="false">
      <c r="B38" s="5" t="s">
        <v>30</v>
      </c>
    </row>
    <row r="39" customFormat="false" ht="15" hidden="false" customHeight="true" outlineLevel="0" collapsed="false">
      <c r="B39" s="5" t="s">
        <v>31</v>
      </c>
    </row>
    <row r="40" customFormat="false" ht="15" hidden="false" customHeight="true" outlineLevel="0" collapsed="false">
      <c r="B40" s="5" t="s">
        <v>32</v>
      </c>
    </row>
    <row r="41" customFormat="false" ht="15" hidden="false" customHeight="true" outlineLevel="0" collapsed="false">
      <c r="B41" s="5" t="s">
        <v>33</v>
      </c>
    </row>
    <row r="42" customFormat="false" ht="15" hidden="false" customHeight="true" outlineLevel="0" collapsed="false">
      <c r="B42" s="5" t="s">
        <v>34</v>
      </c>
    </row>
    <row r="43" customFormat="false" ht="15" hidden="false" customHeight="true" outlineLevel="0" collapsed="false">
      <c r="B43" s="5" t="s">
        <v>35</v>
      </c>
    </row>
    <row r="44" customFormat="false" ht="15" hidden="false" customHeight="true" outlineLevel="0" collapsed="false">
      <c r="B44" s="5" t="s">
        <v>36</v>
      </c>
    </row>
    <row r="45" customFormat="false" ht="15" hidden="false" customHeight="true" outlineLevel="0" collapsed="false">
      <c r="B45" s="5" t="s">
        <v>37</v>
      </c>
    </row>
    <row r="46" customFormat="false" ht="15" hidden="false" customHeight="true" outlineLevel="0" collapsed="false">
      <c r="B46" s="5" t="s">
        <v>38</v>
      </c>
    </row>
    <row r="47" customFormat="false" ht="15" hidden="false" customHeight="true" outlineLevel="0" collapsed="false">
      <c r="B47" s="5" t="s">
        <v>39</v>
      </c>
    </row>
    <row r="48" customFormat="false" ht="15" hidden="false" customHeight="true" outlineLevel="0" collapsed="false">
      <c r="B48" s="5" t="s">
        <v>40</v>
      </c>
    </row>
    <row r="49" customFormat="false" ht="15" hidden="false" customHeight="true" outlineLevel="0" collapsed="false">
      <c r="B49" s="5" t="s">
        <v>41</v>
      </c>
    </row>
    <row r="50" customFormat="false" ht="15" hidden="false" customHeight="true" outlineLevel="0" collapsed="false">
      <c r="B50" s="5" t="s">
        <v>42</v>
      </c>
    </row>
    <row r="52" customFormat="false" ht="15" hidden="false" customHeight="true" outlineLevel="0" collapsed="false">
      <c r="B52" s="4" t="s">
        <v>43</v>
      </c>
    </row>
    <row r="53" customFormat="false" ht="15" hidden="false" customHeight="true" outlineLevel="0" collapsed="false">
      <c r="B53" s="5" t="s">
        <v>44</v>
      </c>
    </row>
    <row r="54" customFormat="false" ht="15" hidden="false" customHeight="true" outlineLevel="0" collapsed="false">
      <c r="B54" s="5" t="s">
        <v>45</v>
      </c>
    </row>
    <row r="55" customFormat="false" ht="15" hidden="false" customHeight="true" outlineLevel="0" collapsed="false">
      <c r="B55" s="5" t="s">
        <v>46</v>
      </c>
    </row>
    <row r="56" customFormat="false" ht="15" hidden="false" customHeight="true" outlineLevel="0" collapsed="false">
      <c r="B56" s="5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58"/>
    <col collapsed="false" customWidth="true" hidden="false" outlineLevel="0" max="6" min="6" style="1" width="2"/>
  </cols>
  <sheetData>
    <row r="2" customFormat="false" ht="27.75" hidden="false" customHeight="true" outlineLevel="0" collapsed="false">
      <c r="B2" s="2" t="s">
        <v>48</v>
      </c>
      <c r="C2" s="3"/>
      <c r="D2" s="3"/>
      <c r="E2" s="3"/>
      <c r="F2" s="3"/>
      <c r="G2" s="3"/>
      <c r="H2" s="3"/>
      <c r="I2" s="3"/>
      <c r="J2" s="3"/>
    </row>
    <row r="4" customFormat="false" ht="21.75" hidden="false" customHeight="true" outlineLevel="0" collapsed="false">
      <c r="B4" s="2" t="s">
        <v>49</v>
      </c>
      <c r="C4" s="3"/>
      <c r="D4" s="3"/>
      <c r="E4" s="3"/>
      <c r="F4" s="3"/>
      <c r="G4" s="3"/>
      <c r="H4" s="3"/>
      <c r="I4" s="3"/>
      <c r="J4" s="3"/>
    </row>
    <row r="5" customFormat="false" ht="15" hidden="false" customHeight="true" outlineLevel="0" collapsed="false">
      <c r="C5" s="6" t="n">
        <v>58.8</v>
      </c>
      <c r="D5" s="5" t="s">
        <v>50</v>
      </c>
      <c r="E5" s="7" t="s">
        <v>51</v>
      </c>
    </row>
    <row r="6" customFormat="false" ht="15" hidden="false" customHeight="true" outlineLevel="0" collapsed="false">
      <c r="C6" s="6" t="n">
        <v>14.7</v>
      </c>
      <c r="D6" s="5" t="s">
        <v>50</v>
      </c>
    </row>
    <row r="7" customFormat="false" ht="15" hidden="false" customHeight="true" outlineLevel="0" collapsed="false">
      <c r="C7" s="8" t="n">
        <v>5</v>
      </c>
      <c r="D7" s="5" t="s">
        <v>52</v>
      </c>
      <c r="E7" s="7" t="s">
        <v>53</v>
      </c>
    </row>
    <row r="8" customFormat="false" ht="15" hidden="false" customHeight="true" outlineLevel="0" collapsed="false">
      <c r="C8" s="6" t="n">
        <v>3.2</v>
      </c>
      <c r="D8" s="5" t="s">
        <v>50</v>
      </c>
    </row>
    <row r="9" customFormat="false" ht="15" hidden="false" customHeight="true" outlineLevel="0" collapsed="false">
      <c r="C9" s="8" t="n">
        <v>42</v>
      </c>
      <c r="D9" s="5" t="s">
        <v>54</v>
      </c>
      <c r="E9" s="7" t="s">
        <v>55</v>
      </c>
    </row>
    <row r="11" customFormat="false" ht="21.75" hidden="false" customHeight="true" outlineLevel="0" collapsed="false">
      <c r="B11" s="2" t="s">
        <v>56</v>
      </c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true" outlineLevel="0" collapsed="false">
      <c r="B12" s="5" t="s">
        <v>57</v>
      </c>
      <c r="C12" s="9" t="n">
        <v>0.55</v>
      </c>
      <c r="D12" s="5" t="s">
        <v>52</v>
      </c>
      <c r="E12" s="7" t="s">
        <v>58</v>
      </c>
    </row>
    <row r="13" customFormat="false" ht="15" hidden="false" customHeight="true" outlineLevel="0" collapsed="false">
      <c r="B13" s="5" t="s">
        <v>59</v>
      </c>
      <c r="C13" s="9" t="n">
        <v>0.02</v>
      </c>
      <c r="D13" s="5" t="s">
        <v>52</v>
      </c>
    </row>
    <row r="14" customFormat="false" ht="15" hidden="false" customHeight="true" outlineLevel="0" collapsed="false">
      <c r="B14" s="5" t="s">
        <v>60</v>
      </c>
      <c r="C14" s="9" t="n">
        <v>0.12</v>
      </c>
      <c r="D14" s="5" t="s">
        <v>52</v>
      </c>
      <c r="E14" s="7" t="s">
        <v>61</v>
      </c>
    </row>
    <row r="15" customFormat="false" ht="15" hidden="false" customHeight="true" outlineLevel="0" collapsed="false">
      <c r="B15" s="5" t="s">
        <v>62</v>
      </c>
      <c r="C15" s="9" t="n">
        <v>0.02</v>
      </c>
      <c r="D15" s="5" t="s">
        <v>52</v>
      </c>
    </row>
    <row r="17" customFormat="false" ht="21.75" hidden="false" customHeight="true" outlineLevel="0" collapsed="false">
      <c r="B17" s="2" t="s">
        <v>63</v>
      </c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true" outlineLevel="0" collapsed="false">
      <c r="C18" s="9" t="n">
        <v>0.18</v>
      </c>
      <c r="D18" s="5" t="s">
        <v>64</v>
      </c>
      <c r="E18" s="7" t="s">
        <v>65</v>
      </c>
    </row>
    <row r="19" customFormat="false" ht="15" hidden="false" customHeight="true" outlineLevel="0" collapsed="false">
      <c r="C19" s="9" t="n">
        <v>0.16</v>
      </c>
      <c r="D19" s="5" t="s">
        <v>64</v>
      </c>
      <c r="E19" s="7" t="s">
        <v>66</v>
      </c>
    </row>
    <row r="20" customFormat="false" ht="15" hidden="false" customHeight="true" outlineLevel="0" collapsed="false">
      <c r="C20" s="9" t="n">
        <v>0.22</v>
      </c>
      <c r="D20" s="5" t="s">
        <v>64</v>
      </c>
      <c r="E20" s="7" t="s">
        <v>67</v>
      </c>
    </row>
    <row r="21" customFormat="false" ht="15" hidden="false" customHeight="true" outlineLevel="0" collapsed="false">
      <c r="C21" s="6" t="n">
        <v>1.4</v>
      </c>
      <c r="D21" s="5" t="s">
        <v>64</v>
      </c>
      <c r="E21" s="7" t="s">
        <v>68</v>
      </c>
    </row>
    <row r="22" customFormat="false" ht="15" hidden="false" customHeight="true" outlineLevel="0" collapsed="false">
      <c r="C22" s="9" t="n">
        <v>0.42</v>
      </c>
      <c r="D22" s="5" t="s">
        <v>52</v>
      </c>
      <c r="E22" s="7" t="s">
        <v>69</v>
      </c>
    </row>
    <row r="23" customFormat="false" ht="15" hidden="false" customHeight="true" outlineLevel="0" collapsed="false">
      <c r="C23" s="9" t="n">
        <v>0.6</v>
      </c>
      <c r="D23" s="5" t="s">
        <v>52</v>
      </c>
      <c r="E23" s="7" t="s">
        <v>70</v>
      </c>
    </row>
    <row r="24" customFormat="false" ht="15" hidden="false" customHeight="true" outlineLevel="0" collapsed="false">
      <c r="C24" s="9" t="n">
        <v>0.7</v>
      </c>
      <c r="D24" s="5" t="s">
        <v>52</v>
      </c>
      <c r="E24" s="7" t="s">
        <v>71</v>
      </c>
    </row>
    <row r="25" customFormat="false" ht="15" hidden="false" customHeight="true" outlineLevel="0" collapsed="false">
      <c r="C25" s="8" t="n">
        <v>25</v>
      </c>
      <c r="D25" s="5" t="s">
        <v>64</v>
      </c>
      <c r="E25" s="7" t="s">
        <v>72</v>
      </c>
    </row>
    <row r="26" customFormat="false" ht="15" hidden="false" customHeight="true" outlineLevel="0" collapsed="false">
      <c r="B26" s="5" t="s">
        <v>73</v>
      </c>
      <c r="C26" s="10" t="n">
        <v>0.2</v>
      </c>
      <c r="D26" s="5" t="s">
        <v>52</v>
      </c>
      <c r="E26" s="7" t="s">
        <v>74</v>
      </c>
    </row>
    <row r="27" customFormat="false" ht="21.75" hidden="false" customHeight="true" outlineLevel="0" collapsed="false"/>
    <row r="28" customFormat="false" ht="17.25" hidden="false" customHeight="true" outlineLevel="0" collapsed="false">
      <c r="B28" s="2" t="s">
        <v>75</v>
      </c>
      <c r="C28" s="3"/>
      <c r="D28" s="3"/>
      <c r="E28" s="3"/>
      <c r="F28" s="3"/>
      <c r="G28" s="3"/>
      <c r="H28" s="3"/>
      <c r="I28" s="3"/>
      <c r="J28" s="3"/>
    </row>
    <row r="29" customFormat="false" ht="15" hidden="false" customHeight="true" outlineLevel="0" collapsed="false">
      <c r="C29" s="11" t="n">
        <v>21</v>
      </c>
      <c r="D29" s="5" t="s">
        <v>76</v>
      </c>
      <c r="E29" s="7" t="s">
        <v>77</v>
      </c>
    </row>
    <row r="30" customFormat="false" ht="15" hidden="false" customHeight="true" outlineLevel="0" collapsed="false">
      <c r="C30" s="11" t="n">
        <v>25</v>
      </c>
      <c r="D30" s="5" t="s">
        <v>76</v>
      </c>
    </row>
    <row r="31" customFormat="false" ht="21.75" hidden="false" customHeight="true" outlineLevel="0" collapsed="false"/>
    <row r="32" customFormat="false" ht="17.25" hidden="false" customHeight="true" outlineLevel="0" collapsed="false">
      <c r="B32" s="2" t="s">
        <v>78</v>
      </c>
      <c r="C32" s="3"/>
      <c r="D32" s="3"/>
      <c r="E32" s="3"/>
      <c r="F32" s="3"/>
      <c r="G32" s="3"/>
      <c r="H32" s="3"/>
      <c r="I32" s="3"/>
      <c r="J32" s="3"/>
    </row>
    <row r="33" customFormat="false" ht="15" hidden="false" customHeight="true" outlineLevel="0" collapsed="false">
      <c r="C33" s="9" t="n">
        <v>0.2</v>
      </c>
      <c r="D33" s="5" t="s">
        <v>79</v>
      </c>
      <c r="E33" s="7" t="s">
        <v>80</v>
      </c>
    </row>
    <row r="34" customFormat="false" ht="15" hidden="false" customHeight="true" outlineLevel="0" collapsed="false">
      <c r="C34" s="11" t="n">
        <v>1</v>
      </c>
      <c r="D34" s="5" t="s">
        <v>81</v>
      </c>
      <c r="E34" s="7" t="s">
        <v>82</v>
      </c>
    </row>
    <row r="35" customFormat="false" ht="15" hidden="false" customHeight="true" outlineLevel="0" collapsed="false">
      <c r="C35" s="9" t="n">
        <v>0.76</v>
      </c>
      <c r="D35" s="5" t="s">
        <v>81</v>
      </c>
      <c r="E35" s="7" t="s">
        <v>82</v>
      </c>
    </row>
    <row r="36" customFormat="false" ht="15" hidden="false" customHeight="true" outlineLevel="0" collapsed="false">
      <c r="C36" s="9" t="n">
        <v>0.13</v>
      </c>
      <c r="D36" s="5" t="s">
        <v>79</v>
      </c>
      <c r="E36" s="7" t="s">
        <v>83</v>
      </c>
    </row>
    <row r="37" customFormat="false" ht="15" hidden="false" customHeight="true" outlineLevel="0" collapsed="false">
      <c r="C37" s="6" t="n">
        <v>1.2</v>
      </c>
      <c r="D37" s="5" t="s">
        <v>84</v>
      </c>
    </row>
    <row r="38" customFormat="false" ht="15" hidden="false" customHeight="true" outlineLevel="0" collapsed="false">
      <c r="C38" s="11" t="n">
        <v>1005</v>
      </c>
      <c r="D38" s="5" t="s">
        <v>85</v>
      </c>
    </row>
    <row r="39" customFormat="false" ht="21.75" hidden="false" customHeight="true" outlineLevel="0" collapsed="false"/>
    <row r="40" customFormat="false" ht="17.25" hidden="false" customHeight="true" outlineLevel="0" collapsed="false">
      <c r="B40" s="2" t="s">
        <v>86</v>
      </c>
      <c r="C40" s="3"/>
      <c r="D40" s="3"/>
      <c r="E40" s="3"/>
      <c r="F40" s="3"/>
      <c r="G40" s="3"/>
      <c r="H40" s="3"/>
      <c r="I40" s="3"/>
      <c r="J40" s="3"/>
    </row>
    <row r="41" customFormat="false" ht="15" hidden="false" customHeight="true" outlineLevel="0" collapsed="false">
      <c r="C41" s="11" t="n">
        <v>1649271</v>
      </c>
      <c r="D41" s="5" t="s">
        <v>87</v>
      </c>
      <c r="E41" s="7" t="s">
        <v>88</v>
      </c>
    </row>
    <row r="42" customFormat="false" ht="15" hidden="false" customHeight="true" outlineLevel="0" collapsed="false">
      <c r="C42" s="8" t="n">
        <v>75</v>
      </c>
      <c r="D42" s="5" t="s">
        <v>89</v>
      </c>
      <c r="E42" s="7" t="s">
        <v>90</v>
      </c>
    </row>
    <row r="43" customFormat="false" ht="15" hidden="false" customHeight="true" outlineLevel="0" collapsed="false">
      <c r="C43" s="8" t="n">
        <v>8</v>
      </c>
      <c r="D43" s="5" t="s">
        <v>91</v>
      </c>
      <c r="E43" s="7" t="s">
        <v>92</v>
      </c>
    </row>
    <row r="44" customFormat="false" ht="15" hidden="false" customHeight="true" outlineLevel="0" collapsed="false">
      <c r="C44" s="11" t="n">
        <v>4380</v>
      </c>
      <c r="D44" s="5" t="s">
        <v>93</v>
      </c>
      <c r="E44" s="7" t="s">
        <v>94</v>
      </c>
    </row>
    <row r="45" customFormat="false" ht="15" hidden="false" customHeight="true" outlineLevel="0" collapsed="false">
      <c r="C45" s="8" t="n">
        <v>15</v>
      </c>
      <c r="D45" s="5" t="s">
        <v>91</v>
      </c>
      <c r="E45" s="7" t="s">
        <v>95</v>
      </c>
    </row>
    <row r="46" customFormat="false" ht="15" hidden="false" customHeight="true" outlineLevel="0" collapsed="false">
      <c r="C46" s="11" t="n">
        <v>6000</v>
      </c>
      <c r="D46" s="5" t="s">
        <v>93</v>
      </c>
      <c r="E46" s="7" t="s">
        <v>96</v>
      </c>
    </row>
    <row r="47" customFormat="false" ht="15" hidden="false" customHeight="true" outlineLevel="0" collapsed="false">
      <c r="C47" s="9" t="n">
        <v>0.45</v>
      </c>
      <c r="D47" s="5" t="s">
        <v>97</v>
      </c>
      <c r="E47" s="7" t="s">
        <v>98</v>
      </c>
    </row>
    <row r="48" customFormat="false" ht="21.75" hidden="false" customHeight="true" outlineLevel="0" collapsed="false"/>
    <row r="49" customFormat="false" ht="17.25" hidden="false" customHeight="true" outlineLevel="0" collapsed="false">
      <c r="B49" s="2" t="s">
        <v>99</v>
      </c>
      <c r="C49" s="3"/>
      <c r="D49" s="3"/>
      <c r="E49" s="3"/>
      <c r="F49" s="3"/>
      <c r="G49" s="3"/>
      <c r="H49" s="3"/>
      <c r="I49" s="3"/>
      <c r="J49" s="3"/>
    </row>
    <row r="50" customFormat="false" ht="15" hidden="false" customHeight="true" outlineLevel="0" collapsed="false">
      <c r="C50" s="11" t="n">
        <v>11500</v>
      </c>
      <c r="D50" s="5" t="s">
        <v>100</v>
      </c>
      <c r="E50" s="7" t="s">
        <v>101</v>
      </c>
    </row>
    <row r="51" customFormat="false" ht="15" hidden="false" customHeight="true" outlineLevel="0" collapsed="false">
      <c r="C51" s="9" t="n">
        <v>0.4</v>
      </c>
      <c r="D51" s="5" t="s">
        <v>52</v>
      </c>
      <c r="E51" s="7" t="s">
        <v>102</v>
      </c>
    </row>
    <row r="52" customFormat="false" ht="15" hidden="false" customHeight="true" outlineLevel="0" collapsed="false">
      <c r="C52" s="8" t="n">
        <v>10</v>
      </c>
      <c r="D52" s="5" t="s">
        <v>76</v>
      </c>
      <c r="E52" s="7" t="s">
        <v>103</v>
      </c>
    </row>
    <row r="53" customFormat="false" ht="15" hidden="false" customHeight="true" outlineLevel="0" collapsed="false">
      <c r="C53" s="8" t="n">
        <v>60</v>
      </c>
      <c r="D53" s="5" t="s">
        <v>76</v>
      </c>
      <c r="E53" s="7" t="s">
        <v>104</v>
      </c>
    </row>
    <row r="54" customFormat="false" ht="15" hidden="false" customHeight="true" outlineLevel="0" collapsed="false">
      <c r="C54" s="9" t="n">
        <v>0.2</v>
      </c>
      <c r="D54" s="5" t="s">
        <v>97</v>
      </c>
      <c r="E54" s="7" t="s">
        <v>105</v>
      </c>
    </row>
    <row r="55" customFormat="false" ht="15" hidden="false" customHeight="true" outlineLevel="0" collapsed="false">
      <c r="C55" s="9" t="n">
        <v>0.5</v>
      </c>
      <c r="D55" s="5" t="s">
        <v>97</v>
      </c>
      <c r="E55" s="7" t="s">
        <v>106</v>
      </c>
    </row>
    <row r="56" customFormat="false" ht="15" hidden="false" customHeight="true" outlineLevel="0" collapsed="false">
      <c r="C56" s="11" t="n">
        <v>3</v>
      </c>
      <c r="D56" s="5" t="s">
        <v>52</v>
      </c>
      <c r="E56" s="7" t="s">
        <v>107</v>
      </c>
    </row>
    <row r="57" customFormat="false" ht="15" hidden="false" customHeight="true" outlineLevel="0" collapsed="false">
      <c r="C57" s="9" t="n">
        <v>0.9</v>
      </c>
      <c r="D57" s="5" t="s">
        <v>52</v>
      </c>
      <c r="E57" s="7" t="s">
        <v>108</v>
      </c>
    </row>
    <row r="58" customFormat="false" ht="15" hidden="false" customHeight="true" outlineLevel="0" collapsed="false">
      <c r="C58" s="11" t="n">
        <v>1500</v>
      </c>
      <c r="D58" s="5" t="s">
        <v>109</v>
      </c>
      <c r="E58" s="7" t="s">
        <v>110</v>
      </c>
    </row>
    <row r="59" customFormat="false" ht="15" hidden="false" customHeight="true" outlineLevel="0" collapsed="false">
      <c r="C59" s="11" t="n">
        <v>1000</v>
      </c>
      <c r="D59" s="5" t="s">
        <v>84</v>
      </c>
    </row>
    <row r="60" customFormat="false" ht="15" hidden="false" customHeight="true" outlineLevel="0" collapsed="false">
      <c r="C60" s="6" t="n">
        <v>4.18</v>
      </c>
      <c r="D60" s="5" t="s">
        <v>111</v>
      </c>
    </row>
    <row r="61" customFormat="false" ht="21.75" hidden="false" customHeight="true" outlineLevel="0" collapsed="false"/>
    <row r="62" customFormat="false" ht="17.25" hidden="false" customHeight="true" outlineLevel="0" collapsed="false">
      <c r="B62" s="2" t="s">
        <v>112</v>
      </c>
      <c r="C62" s="3"/>
      <c r="D62" s="3"/>
      <c r="E62" s="3"/>
      <c r="F62" s="3"/>
      <c r="G62" s="3"/>
      <c r="H62" s="3"/>
      <c r="I62" s="3"/>
      <c r="J62" s="3"/>
    </row>
    <row r="63" customFormat="false" ht="15" hidden="false" customHeight="true" outlineLevel="0" collapsed="false">
      <c r="C63" s="11" t="n">
        <v>2292</v>
      </c>
      <c r="D63" s="5" t="s">
        <v>113</v>
      </c>
      <c r="E63" s="7" t="s">
        <v>114</v>
      </c>
    </row>
    <row r="64" customFormat="false" ht="15" hidden="false" customHeight="true" outlineLevel="0" collapsed="false">
      <c r="C64" s="9" t="n">
        <v>0.4</v>
      </c>
      <c r="D64" s="5" t="s">
        <v>115</v>
      </c>
      <c r="E64" s="7" t="s">
        <v>116</v>
      </c>
    </row>
    <row r="65" customFormat="false" ht="15" hidden="false" customHeight="true" outlineLevel="0" collapsed="false">
      <c r="C65" s="11" t="n">
        <v>8760</v>
      </c>
      <c r="D65" s="5" t="s">
        <v>93</v>
      </c>
    </row>
    <row r="66" customFormat="false" ht="15" hidden="false" customHeight="true" outlineLevel="0" collapsed="false">
      <c r="C66" s="11" t="n">
        <v>1450</v>
      </c>
      <c r="D66" s="5" t="s">
        <v>113</v>
      </c>
      <c r="E66" s="7" t="s">
        <v>117</v>
      </c>
    </row>
    <row r="67" customFormat="false" ht="15" hidden="false" customHeight="true" outlineLevel="0" collapsed="false">
      <c r="C67" s="6" t="n">
        <v>1.4</v>
      </c>
      <c r="D67" s="5" t="s">
        <v>115</v>
      </c>
      <c r="E67" s="7" t="s">
        <v>118</v>
      </c>
    </row>
    <row r="68" customFormat="false" ht="15" hidden="false" customHeight="true" outlineLevel="0" collapsed="false">
      <c r="C68" s="9" t="n">
        <v>0.8</v>
      </c>
      <c r="D68" s="5" t="s">
        <v>52</v>
      </c>
      <c r="E68" s="7" t="s">
        <v>119</v>
      </c>
    </row>
    <row r="69" customFormat="false" ht="15" hidden="false" customHeight="true" outlineLevel="0" collapsed="false">
      <c r="C69" s="11" t="n">
        <v>8760</v>
      </c>
      <c r="D69" s="5" t="s">
        <v>93</v>
      </c>
    </row>
    <row r="70" customFormat="false" ht="15" hidden="false" customHeight="true" outlineLevel="0" collapsed="false">
      <c r="C70" s="9" t="n">
        <v>0.55</v>
      </c>
      <c r="D70" s="5" t="s">
        <v>97</v>
      </c>
      <c r="E70" s="7" t="s">
        <v>120</v>
      </c>
    </row>
    <row r="71" customFormat="false" ht="21.75" hidden="false" customHeight="true" outlineLevel="0" collapsed="false"/>
    <row r="72" customFormat="false" ht="17.25" hidden="false" customHeight="true" outlineLevel="0" collapsed="false">
      <c r="B72" s="2" t="s">
        <v>121</v>
      </c>
      <c r="C72" s="3"/>
      <c r="D72" s="3"/>
      <c r="E72" s="3"/>
      <c r="F72" s="3"/>
      <c r="G72" s="3"/>
      <c r="H72" s="3"/>
      <c r="I72" s="3"/>
      <c r="J72" s="3"/>
    </row>
    <row r="73" customFormat="false" ht="15" hidden="false" customHeight="true" outlineLevel="0" collapsed="false">
      <c r="C73" s="6" t="n">
        <v>5.12</v>
      </c>
      <c r="D73" s="5" t="s">
        <v>52</v>
      </c>
      <c r="E73" s="7" t="s">
        <v>122</v>
      </c>
    </row>
    <row r="74" customFormat="false" ht="15" hidden="false" customHeight="true" outlineLevel="0" collapsed="false">
      <c r="C74" s="9" t="n">
        <v>0.95</v>
      </c>
      <c r="D74" s="5" t="s">
        <v>52</v>
      </c>
      <c r="E74" s="7" t="s">
        <v>123</v>
      </c>
    </row>
    <row r="75" customFormat="false" ht="15" hidden="false" customHeight="true" outlineLevel="0" collapsed="false">
      <c r="C75" s="11" t="n">
        <v>1</v>
      </c>
      <c r="D75" s="5" t="s">
        <v>52</v>
      </c>
      <c r="E75" s="7" t="s">
        <v>124</v>
      </c>
    </row>
    <row r="76" customFormat="false" ht="15" hidden="false" customHeight="true" outlineLevel="0" collapsed="false">
      <c r="C76" s="9" t="n">
        <v>0.05</v>
      </c>
      <c r="D76" s="5" t="s">
        <v>52</v>
      </c>
      <c r="E76" s="7" t="s">
        <v>125</v>
      </c>
    </row>
    <row r="77" customFormat="false" ht="15" hidden="false" customHeight="true" outlineLevel="0" collapsed="false">
      <c r="C77" s="6" t="n">
        <v>3.51</v>
      </c>
      <c r="D77" s="5" t="s">
        <v>52</v>
      </c>
      <c r="E77" s="7" t="s">
        <v>126</v>
      </c>
    </row>
    <row r="78" customFormat="false" ht="15" hidden="false" customHeight="true" outlineLevel="0" collapsed="false">
      <c r="C78" s="9" t="n">
        <v>0.95</v>
      </c>
      <c r="D78" s="5" t="s">
        <v>52</v>
      </c>
      <c r="E78" s="7" t="s">
        <v>123</v>
      </c>
    </row>
    <row r="79" customFormat="false" ht="15" hidden="false" customHeight="true" outlineLevel="0" collapsed="false">
      <c r="C79" s="6" t="n">
        <v>5.62</v>
      </c>
      <c r="D79" s="5" t="s">
        <v>52</v>
      </c>
      <c r="E79" s="7" t="s">
        <v>127</v>
      </c>
    </row>
    <row r="80" customFormat="false" ht="15" hidden="false" customHeight="true" outlineLevel="0" collapsed="false">
      <c r="C80" s="9" t="n">
        <v>0.05</v>
      </c>
      <c r="D80" s="5" t="s">
        <v>52</v>
      </c>
    </row>
    <row r="81" customFormat="false" ht="21.75" hidden="false" customHeight="true" outlineLevel="0" collapsed="false"/>
    <row r="82" customFormat="false" ht="17.25" hidden="false" customHeight="true" outlineLevel="0" collapsed="false">
      <c r="B82" s="2" t="s">
        <v>128</v>
      </c>
      <c r="C82" s="3"/>
      <c r="D82" s="3"/>
      <c r="E82" s="3"/>
      <c r="F82" s="3"/>
      <c r="G82" s="3"/>
      <c r="H82" s="3"/>
      <c r="I82" s="3"/>
      <c r="J82" s="3"/>
    </row>
    <row r="83" customFormat="false" ht="15" hidden="false" customHeight="true" outlineLevel="0" collapsed="false">
      <c r="C83" s="11" t="n">
        <v>8000</v>
      </c>
      <c r="D83" s="5" t="s">
        <v>109</v>
      </c>
      <c r="E83" s="7" t="s">
        <v>129</v>
      </c>
    </row>
    <row r="84" customFormat="false" ht="15" hidden="false" customHeight="true" outlineLevel="0" collapsed="false">
      <c r="C84" s="11" t="n">
        <v>6000</v>
      </c>
      <c r="D84" s="5" t="s">
        <v>109</v>
      </c>
      <c r="E84" s="7" t="s">
        <v>130</v>
      </c>
    </row>
    <row r="85" customFormat="false" ht="15" hidden="false" customHeight="true" outlineLevel="0" collapsed="false">
      <c r="C85" s="11" t="n">
        <v>8000</v>
      </c>
      <c r="D85" s="5" t="s">
        <v>109</v>
      </c>
      <c r="E85" s="7" t="s">
        <v>131</v>
      </c>
    </row>
    <row r="86" customFormat="false" ht="15" hidden="false" customHeight="true" outlineLevel="0" collapsed="false">
      <c r="C86" s="11" t="n">
        <v>4000</v>
      </c>
      <c r="D86" s="5" t="s">
        <v>109</v>
      </c>
      <c r="E86" s="7" t="s">
        <v>132</v>
      </c>
    </row>
    <row r="87" customFormat="false" ht="15" hidden="false" customHeight="true" outlineLevel="0" collapsed="false">
      <c r="C87" s="11" t="n">
        <v>5000</v>
      </c>
      <c r="D87" s="5" t="s">
        <v>109</v>
      </c>
      <c r="E87" s="7" t="s">
        <v>133</v>
      </c>
    </row>
    <row r="88" customFormat="false" ht="21.75" hidden="false" customHeight="true" outlineLevel="0" collapsed="false"/>
    <row r="89" customFormat="false" ht="17.25" hidden="false" customHeight="true" outlineLevel="0" collapsed="false">
      <c r="B89" s="2" t="s">
        <v>134</v>
      </c>
      <c r="C89" s="3"/>
      <c r="D89" s="3"/>
      <c r="E89" s="3"/>
      <c r="F89" s="3"/>
      <c r="G89" s="3"/>
      <c r="H89" s="3"/>
      <c r="I89" s="3"/>
      <c r="J89" s="3"/>
    </row>
    <row r="90" customFormat="false" ht="15" hidden="false" customHeight="true" outlineLevel="0" collapsed="false">
      <c r="C90" s="9" t="n">
        <v>0.207</v>
      </c>
      <c r="D90" s="5" t="s">
        <v>135</v>
      </c>
      <c r="E90" s="7" t="s">
        <v>136</v>
      </c>
    </row>
    <row r="91" customFormat="false" ht="15" hidden="false" customHeight="true" outlineLevel="0" collapsed="false">
      <c r="C91" s="9" t="n">
        <v>0.183</v>
      </c>
      <c r="D91" s="5" t="s">
        <v>135</v>
      </c>
      <c r="E91" s="7" t="s">
        <v>137</v>
      </c>
    </row>
    <row r="92" customFormat="false" ht="21.75" hidden="false" customHeight="true" outlineLevel="0" collapsed="false"/>
    <row r="93" customFormat="false" ht="17.25" hidden="false" customHeight="true" outlineLevel="0" collapsed="false">
      <c r="B93" s="2" t="s">
        <v>138</v>
      </c>
      <c r="C93" s="3"/>
      <c r="D93" s="3"/>
      <c r="E93" s="3"/>
      <c r="F93" s="3"/>
      <c r="G93" s="3"/>
      <c r="H93" s="3"/>
      <c r="I93" s="3"/>
      <c r="J93" s="3"/>
    </row>
    <row r="94" customFormat="false" ht="15" hidden="false" customHeight="true" outlineLevel="0" collapsed="false">
      <c r="C94" s="8" t="n">
        <v>560</v>
      </c>
      <c r="D94" s="5" t="s">
        <v>139</v>
      </c>
    </row>
    <row r="95" customFormat="false" ht="15" hidden="false" customHeight="true" outlineLevel="0" collapsed="false">
      <c r="C95" s="8" t="n">
        <v>200</v>
      </c>
      <c r="D95" s="5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6" min="3" style="1" width="14"/>
    <col collapsed="false" customWidth="true" hidden="false" outlineLevel="0" max="7" min="7" style="1" width="36"/>
    <col collapsed="false" customWidth="true" hidden="false" outlineLevel="0" max="8" min="8" style="1" width="2"/>
  </cols>
  <sheetData>
    <row r="2" customFormat="false" ht="27.75" hidden="false" customHeight="true" outlineLevel="0" collapsed="false">
      <c r="B2" s="2" t="s">
        <v>140</v>
      </c>
      <c r="C2" s="3"/>
      <c r="D2" s="3"/>
      <c r="E2" s="3"/>
      <c r="F2" s="3"/>
      <c r="G2" s="3"/>
      <c r="H2" s="3"/>
    </row>
    <row r="4" customFormat="false" ht="21.75" hidden="false" customHeight="true" outlineLevel="0" collapsed="false">
      <c r="B4" s="2" t="s">
        <v>141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B5" s="5" t="s">
        <v>142</v>
      </c>
      <c r="C5" s="12" t="n">
        <f aca="false">i_length*i_width*i_floors</f>
        <v>4321.8</v>
      </c>
      <c r="D5" s="5" t="s">
        <v>81</v>
      </c>
      <c r="E5" s="7" t="s">
        <v>143</v>
      </c>
    </row>
    <row r="6" customFormat="false" ht="15" hidden="false" customHeight="true" outlineLevel="0" collapsed="false">
      <c r="B6" s="5" t="s">
        <v>144</v>
      </c>
      <c r="C6" s="13" t="n">
        <f aca="false">i_floors*i_floor_h</f>
        <v>16</v>
      </c>
      <c r="D6" s="5" t="s">
        <v>50</v>
      </c>
    </row>
    <row r="7" customFormat="false" ht="15" hidden="false" customHeight="true" outlineLevel="0" collapsed="false">
      <c r="B7" s="5" t="s">
        <v>145</v>
      </c>
      <c r="C7" s="14" t="n">
        <f aca="false">i_length*i_width*i_floors*i_floor_h</f>
        <v>13829.76</v>
      </c>
      <c r="D7" s="5" t="s">
        <v>146</v>
      </c>
    </row>
    <row r="8" customFormat="false" ht="15" hidden="false" customHeight="true" outlineLevel="0" collapsed="false">
      <c r="B8" s="5" t="s">
        <v>147</v>
      </c>
      <c r="C8" s="14" t="n">
        <f aca="false">i_length*i_width</f>
        <v>864.36</v>
      </c>
      <c r="D8" s="5" t="s">
        <v>81</v>
      </c>
      <c r="E8" s="7" t="s">
        <v>148</v>
      </c>
    </row>
    <row r="10" customFormat="false" ht="21.75" hidden="false" customHeight="true" outlineLevel="0" collapsed="false">
      <c r="B10" s="2" t="s">
        <v>149</v>
      </c>
      <c r="C10" s="3"/>
      <c r="D10" s="3"/>
      <c r="E10" s="3"/>
      <c r="F10" s="3"/>
      <c r="G10" s="3"/>
      <c r="H10" s="3"/>
    </row>
    <row r="11" customFormat="false" ht="15" hidden="false" customHeight="true" outlineLevel="0" collapsed="false">
      <c r="B11" s="15" t="s">
        <v>150</v>
      </c>
      <c r="C11" s="16" t="s">
        <v>151</v>
      </c>
      <c r="D11" s="16" t="s">
        <v>152</v>
      </c>
      <c r="E11" s="16" t="s">
        <v>153</v>
      </c>
      <c r="F11" s="16" t="s">
        <v>154</v>
      </c>
      <c r="G11" s="16" t="s">
        <v>155</v>
      </c>
    </row>
    <row r="12" customFormat="false" ht="15" hidden="false" customHeight="true" outlineLevel="0" collapsed="false">
      <c r="B12" s="5" t="s">
        <v>156</v>
      </c>
      <c r="C12" s="14" t="n">
        <f aca="false">i_length*i_floors*i_floor_h</f>
        <v>940.8</v>
      </c>
      <c r="D12" s="14" t="n">
        <f aca="false">C12*i_wwr_F1</f>
        <v>517.44</v>
      </c>
      <c r="E12" s="14" t="n">
        <f aca="false">C12-D12</f>
        <v>423.36</v>
      </c>
      <c r="F12" s="17" t="n">
        <f aca="false">i_wwr_F1</f>
        <v>0.55</v>
      </c>
      <c r="G12" s="7" t="s">
        <v>157</v>
      </c>
    </row>
    <row r="13" customFormat="false" ht="15" hidden="false" customHeight="true" outlineLevel="0" collapsed="false">
      <c r="B13" s="5" t="s">
        <v>158</v>
      </c>
      <c r="C13" s="14" t="n">
        <f aca="false">i_width*i_floors*i_floor_h</f>
        <v>235.2</v>
      </c>
      <c r="D13" s="14" t="n">
        <f aca="false">C13*i_wwr_F2</f>
        <v>4.704</v>
      </c>
      <c r="E13" s="14" t="n">
        <f aca="false">C13-D13</f>
        <v>230.496</v>
      </c>
      <c r="F13" s="17" t="n">
        <f aca="false">i_wwr_F2</f>
        <v>0.02</v>
      </c>
    </row>
    <row r="14" customFormat="false" ht="15" hidden="false" customHeight="true" outlineLevel="0" collapsed="false">
      <c r="B14" s="5" t="s">
        <v>159</v>
      </c>
      <c r="C14" s="14" t="n">
        <f aca="false">i_length*i_floors*i_floor_h</f>
        <v>940.8</v>
      </c>
      <c r="D14" s="14" t="n">
        <f aca="false">C14*i_wwr_F3</f>
        <v>112.896</v>
      </c>
      <c r="E14" s="14" t="n">
        <f aca="false">C14-D14</f>
        <v>827.904</v>
      </c>
      <c r="F14" s="17" t="n">
        <f aca="false">i_wwr_F3</f>
        <v>0.12</v>
      </c>
      <c r="G14" s="7" t="s">
        <v>157</v>
      </c>
    </row>
    <row r="15" customFormat="false" ht="15" hidden="false" customHeight="true" outlineLevel="0" collapsed="false">
      <c r="B15" s="5" t="s">
        <v>160</v>
      </c>
      <c r="C15" s="14" t="n">
        <f aca="false">i_width*i_floors*i_floor_h</f>
        <v>235.2</v>
      </c>
      <c r="D15" s="14" t="n">
        <f aca="false">C15*i_wwr_F4</f>
        <v>4.704</v>
      </c>
      <c r="E15" s="14" t="n">
        <f aca="false">C15-D15</f>
        <v>230.496</v>
      </c>
      <c r="F15" s="17" t="n">
        <f aca="false">i_wwr_F4</f>
        <v>0.02</v>
      </c>
    </row>
    <row r="16" customFormat="false" ht="15" hidden="false" customHeight="true" outlineLevel="0" collapsed="false">
      <c r="B16" s="4" t="s">
        <v>161</v>
      </c>
      <c r="C16" s="12" t="n">
        <f aca="false">SUM(C12:C15)</f>
        <v>2352</v>
      </c>
      <c r="D16" s="12" t="n">
        <f aca="false">SUM(D12:D15)</f>
        <v>639.744</v>
      </c>
      <c r="E16" s="12" t="n">
        <f aca="false">SUM(E12:E15)</f>
        <v>1712.256</v>
      </c>
    </row>
    <row r="18" customFormat="false" ht="21.75" hidden="false" customHeight="true" outlineLevel="0" collapsed="false">
      <c r="B18" s="2" t="s">
        <v>162</v>
      </c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B19" s="5" t="s">
        <v>163</v>
      </c>
      <c r="C19" s="14" t="n">
        <f aca="false">i_length*i_width</f>
        <v>864.36</v>
      </c>
      <c r="D19" s="5" t="s">
        <v>81</v>
      </c>
      <c r="E19" s="7" t="s">
        <v>164</v>
      </c>
    </row>
    <row r="20" customFormat="false" ht="15" hidden="false" customHeight="true" outlineLevel="0" collapsed="false">
      <c r="B20" s="5" t="s">
        <v>165</v>
      </c>
      <c r="C20" s="14" t="n">
        <f aca="false">i_length*i_width</f>
        <v>864.36</v>
      </c>
      <c r="D20" s="5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30"/>
    <col collapsed="false" customWidth="true" hidden="false" outlineLevel="0" max="6" min="6" style="1" width="2"/>
  </cols>
  <sheetData>
    <row r="2" customFormat="false" ht="27.75" hidden="false" customHeight="true" outlineLevel="0" collapsed="false">
      <c r="B2" s="2" t="s">
        <v>166</v>
      </c>
      <c r="C2" s="3"/>
      <c r="D2" s="3"/>
      <c r="E2" s="3"/>
      <c r="F2" s="3"/>
    </row>
    <row r="4" customFormat="false" ht="21.75" hidden="false" customHeight="true" outlineLevel="0" collapsed="false">
      <c r="B4" s="2" t="s">
        <v>167</v>
      </c>
      <c r="C4" s="3"/>
      <c r="D4" s="3"/>
      <c r="E4" s="3"/>
      <c r="F4" s="3"/>
    </row>
    <row r="5" customFormat="false" ht="15" hidden="false" customHeight="true" outlineLevel="0" collapsed="false">
      <c r="B5" s="15" t="s">
        <v>150</v>
      </c>
      <c r="C5" s="16" t="s">
        <v>168</v>
      </c>
      <c r="D5" s="16" t="s">
        <v>169</v>
      </c>
      <c r="E5" s="16" t="s">
        <v>170</v>
      </c>
    </row>
    <row r="6" customFormat="false" ht="15" hidden="false" customHeight="true" outlineLevel="0" collapsed="false">
      <c r="B6" s="5" t="s">
        <v>171</v>
      </c>
      <c r="C6" s="18" t="n">
        <v>0</v>
      </c>
      <c r="D6" s="19" t="n">
        <f aca="false">MOD(i_orient+C6,360)</f>
        <v>42</v>
      </c>
      <c r="E6" s="20" t="str">
        <f aca="false">IF(D6&lt;22.5,"N",IF(D6&lt;67.5,"NE",IF(D6&lt;112.5,"E",IF(D6&lt;157.5,"SE",IF(D6&lt;202.5,"S",IF(D6&lt;247.5,"SW",IF(D6&lt;292.5,"W",IF(D6&lt;337.5,"NW","N"))))))))</f>
        <v>NE</v>
      </c>
    </row>
    <row r="7" customFormat="false" ht="15" hidden="false" customHeight="true" outlineLevel="0" collapsed="false">
      <c r="B7" s="5" t="s">
        <v>172</v>
      </c>
      <c r="C7" s="18" t="n">
        <v>90</v>
      </c>
      <c r="D7" s="19" t="n">
        <f aca="false">MOD(i_orient+C7,360)</f>
        <v>132</v>
      </c>
      <c r="E7" s="20" t="str">
        <f aca="false">IF(D7&lt;22.5,"N",IF(D7&lt;67.5,"NE",IF(D7&lt;112.5,"E",IF(D7&lt;157.5,"SE",IF(D7&lt;202.5,"S",IF(D7&lt;247.5,"SW",IF(D7&lt;292.5,"W",IF(D7&lt;337.5,"NW","N"))))))))</f>
        <v>SE</v>
      </c>
    </row>
    <row r="8" customFormat="false" ht="15" hidden="false" customHeight="true" outlineLevel="0" collapsed="false">
      <c r="B8" s="5" t="s">
        <v>173</v>
      </c>
      <c r="C8" s="18" t="n">
        <v>180</v>
      </c>
      <c r="D8" s="19" t="n">
        <f aca="false">MOD(i_orient+C8,360)</f>
        <v>222</v>
      </c>
      <c r="E8" s="20" t="str">
        <f aca="false">IF(D8&lt;22.5,"N",IF(D8&lt;67.5,"NE",IF(D8&lt;112.5,"E",IF(D8&lt;157.5,"SE",IF(D8&lt;202.5,"S",IF(D8&lt;247.5,"SW",IF(D8&lt;292.5,"W",IF(D8&lt;337.5,"NW","N"))))))))</f>
        <v>SW</v>
      </c>
    </row>
    <row r="9" customFormat="false" ht="15" hidden="false" customHeight="true" outlineLevel="0" collapsed="false">
      <c r="B9" s="5" t="s">
        <v>174</v>
      </c>
      <c r="C9" s="18" t="n">
        <v>270</v>
      </c>
      <c r="D9" s="19" t="n">
        <f aca="false">MOD(i_orient+C9,360)</f>
        <v>312</v>
      </c>
      <c r="E9" s="20" t="str">
        <f aca="false">IF(D9&lt;22.5,"N",IF(D9&lt;67.5,"NE",IF(D9&lt;112.5,"E",IF(D9&lt;157.5,"SE",IF(D9&lt;202.5,"S",IF(D9&lt;247.5,"SW",IF(D9&lt;292.5,"W",IF(D9&lt;337.5,"NW","N"))))))))</f>
        <v>NW</v>
      </c>
    </row>
    <row r="11" customFormat="false" ht="21.75" hidden="false" customHeight="true" outlineLevel="0" collapsed="false">
      <c r="B11" s="2" t="s">
        <v>175</v>
      </c>
      <c r="C11" s="3"/>
      <c r="D11" s="3"/>
      <c r="E11" s="3"/>
      <c r="F11" s="3"/>
    </row>
    <row r="12" customFormat="false" ht="15" hidden="false" customHeight="true" outlineLevel="0" collapsed="false">
      <c r="B12" s="5" t="s">
        <v>176</v>
      </c>
      <c r="C12" s="21" t="n">
        <f aca="false">i_orient</f>
        <v>42</v>
      </c>
      <c r="D12" s="5" t="s">
        <v>54</v>
      </c>
    </row>
    <row r="13" customFormat="false" ht="15" hidden="false" customHeight="true" outlineLevel="0" collapsed="false">
      <c r="B13" s="7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6" min="3" style="1" width="14"/>
    <col collapsed="false" customWidth="true" hidden="false" outlineLevel="0" max="7" min="7" style="1" width="40"/>
    <col collapsed="false" customWidth="true" hidden="false" outlineLevel="0" max="8" min="8" style="1" width="2"/>
  </cols>
  <sheetData>
    <row r="2" customFormat="false" ht="27.75" hidden="false" customHeight="true" outlineLevel="0" collapsed="false">
      <c r="B2" s="2" t="s">
        <v>178</v>
      </c>
      <c r="C2" s="3"/>
      <c r="D2" s="3"/>
      <c r="E2" s="3"/>
      <c r="F2" s="3"/>
      <c r="G2" s="3"/>
      <c r="H2" s="3"/>
    </row>
    <row r="4" customFormat="false" ht="21.75" hidden="false" customHeight="true" outlineLevel="0" collapsed="false">
      <c r="B4" s="2" t="s">
        <v>179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B5" s="5" t="s">
        <v>180</v>
      </c>
      <c r="C5" s="22" t="s">
        <v>181</v>
      </c>
      <c r="G5" s="7" t="s">
        <v>182</v>
      </c>
    </row>
    <row r="6" customFormat="false" ht="15" hidden="false" customHeight="true" outlineLevel="0" collapsed="false">
      <c r="B6" s="5" t="s">
        <v>183</v>
      </c>
      <c r="C6" s="22" t="s">
        <v>184</v>
      </c>
      <c r="G6" s="7" t="s">
        <v>185</v>
      </c>
    </row>
    <row r="7" customFormat="false" ht="15" hidden="false" customHeight="true" outlineLevel="0" collapsed="false">
      <c r="B7" s="5" t="s">
        <v>186</v>
      </c>
      <c r="C7" s="23" t="n">
        <v>11.26</v>
      </c>
      <c r="D7" s="5" t="s">
        <v>76</v>
      </c>
      <c r="G7" s="7" t="s">
        <v>187</v>
      </c>
    </row>
    <row r="8" customFormat="false" ht="15" hidden="false" customHeight="true" outlineLevel="0" collapsed="false">
      <c r="B8" s="5" t="s">
        <v>188</v>
      </c>
      <c r="C8" s="23" t="n">
        <v>30.2</v>
      </c>
      <c r="D8" s="5" t="s">
        <v>76</v>
      </c>
      <c r="G8" s="7" t="s">
        <v>189</v>
      </c>
    </row>
    <row r="9" customFormat="false" ht="15" hidden="false" customHeight="true" outlineLevel="0" collapsed="false">
      <c r="B9" s="5" t="s">
        <v>190</v>
      </c>
      <c r="C9" s="23" t="n">
        <v>-6.8</v>
      </c>
      <c r="D9" s="5" t="s">
        <v>76</v>
      </c>
      <c r="G9" s="7" t="s">
        <v>191</v>
      </c>
    </row>
    <row r="10" customFormat="false" ht="15" hidden="false" customHeight="true" outlineLevel="0" collapsed="false">
      <c r="B10" s="5" t="s">
        <v>192</v>
      </c>
      <c r="C10" s="23" t="n">
        <v>3.93</v>
      </c>
      <c r="D10" s="5" t="s">
        <v>193</v>
      </c>
    </row>
    <row r="12" customFormat="false" ht="21.75" hidden="false" customHeight="true" outlineLevel="0" collapsed="false">
      <c r="B12" s="2" t="s">
        <v>194</v>
      </c>
      <c r="C12" s="3"/>
      <c r="D12" s="3"/>
      <c r="E12" s="3"/>
      <c r="F12" s="3"/>
      <c r="G12" s="3"/>
      <c r="H12" s="3"/>
    </row>
    <row r="13" customFormat="false" ht="15" hidden="false" customHeight="true" outlineLevel="0" collapsed="false">
      <c r="B13" s="7" t="s">
        <v>195</v>
      </c>
    </row>
    <row r="14" customFormat="false" ht="15" hidden="false" customHeight="true" outlineLevel="0" collapsed="false">
      <c r="B14" s="5" t="s">
        <v>196</v>
      </c>
      <c r="C14" s="14" t="n">
        <v>1736</v>
      </c>
      <c r="D14" s="5" t="s">
        <v>197</v>
      </c>
      <c r="G14" s="7" t="s">
        <v>198</v>
      </c>
    </row>
    <row r="15" customFormat="false" ht="15" hidden="false" customHeight="true" outlineLevel="0" collapsed="false">
      <c r="B15" s="5" t="s">
        <v>199</v>
      </c>
      <c r="C15" s="14" t="n">
        <v>2683</v>
      </c>
      <c r="D15" s="5" t="s">
        <v>197</v>
      </c>
    </row>
    <row r="16" customFormat="false" ht="15" hidden="false" customHeight="true" outlineLevel="0" collapsed="false">
      <c r="B16" s="5" t="s">
        <v>200</v>
      </c>
      <c r="C16" s="14" t="n">
        <v>86328</v>
      </c>
      <c r="D16" s="5" t="s">
        <v>201</v>
      </c>
      <c r="G16" s="7" t="s">
        <v>202</v>
      </c>
    </row>
    <row r="17" customFormat="false" ht="15" hidden="false" customHeight="true" outlineLevel="0" collapsed="false">
      <c r="B17" s="5" t="s">
        <v>203</v>
      </c>
      <c r="C17" s="14" t="n">
        <v>227</v>
      </c>
      <c r="D17" s="5" t="s">
        <v>201</v>
      </c>
      <c r="G17" s="7" t="s">
        <v>204</v>
      </c>
    </row>
    <row r="18" customFormat="false" ht="15" hidden="false" customHeight="true" outlineLevel="0" collapsed="false">
      <c r="B18" s="5" t="s">
        <v>205</v>
      </c>
      <c r="C18" s="23" t="n">
        <v>11.26</v>
      </c>
      <c r="D18" s="5" t="s">
        <v>76</v>
      </c>
    </row>
    <row r="19" customFormat="false" ht="15" hidden="false" customHeight="true" outlineLevel="0" collapsed="false">
      <c r="B19" s="5" t="s">
        <v>206</v>
      </c>
      <c r="C19" s="14" t="n">
        <v>85322</v>
      </c>
      <c r="D19" s="5" t="s">
        <v>201</v>
      </c>
      <c r="G19" s="7" t="s">
        <v>207</v>
      </c>
    </row>
    <row r="21" customFormat="false" ht="21.75" hidden="false" customHeight="true" outlineLevel="0" collapsed="false">
      <c r="B21" s="2" t="s">
        <v>208</v>
      </c>
      <c r="C21" s="3"/>
      <c r="D21" s="3"/>
      <c r="E21" s="3"/>
      <c r="F21" s="3"/>
      <c r="G21" s="3"/>
      <c r="H21" s="3"/>
    </row>
    <row r="22" customFormat="false" ht="15" hidden="false" customHeight="true" outlineLevel="0" collapsed="false">
      <c r="B22" s="15" t="s">
        <v>209</v>
      </c>
      <c r="C22" s="16" t="s">
        <v>210</v>
      </c>
      <c r="D22" s="16" t="s">
        <v>155</v>
      </c>
    </row>
    <row r="23" customFormat="false" ht="15" hidden="false" customHeight="true" outlineLevel="0" collapsed="false">
      <c r="B23" s="5" t="s">
        <v>211</v>
      </c>
      <c r="C23" s="24" t="n">
        <v>444.4</v>
      </c>
      <c r="D23" s="5" t="s">
        <v>212</v>
      </c>
      <c r="G23" s="7" t="s">
        <v>213</v>
      </c>
    </row>
    <row r="24" customFormat="false" ht="15" hidden="false" customHeight="true" outlineLevel="0" collapsed="false">
      <c r="B24" s="5" t="s">
        <v>214</v>
      </c>
      <c r="C24" s="24" t="n">
        <v>801.7</v>
      </c>
      <c r="D24" s="5" t="s">
        <v>212</v>
      </c>
      <c r="G24" s="7" t="s">
        <v>215</v>
      </c>
    </row>
    <row r="25" customFormat="false" ht="15" hidden="false" customHeight="true" outlineLevel="0" collapsed="false">
      <c r="B25" s="5" t="s">
        <v>216</v>
      </c>
      <c r="C25" s="24" t="n">
        <v>879.2</v>
      </c>
      <c r="D25" s="5" t="s">
        <v>212</v>
      </c>
      <c r="G25" s="7" t="s">
        <v>217</v>
      </c>
    </row>
    <row r="26" customFormat="false" ht="15" hidden="false" customHeight="true" outlineLevel="0" collapsed="false">
      <c r="B26" s="5" t="s">
        <v>218</v>
      </c>
      <c r="C26" s="24" t="n">
        <v>519.5</v>
      </c>
      <c r="D26" s="5" t="s">
        <v>212</v>
      </c>
      <c r="G26" s="7" t="s">
        <v>219</v>
      </c>
    </row>
    <row r="27" customFormat="false" ht="15" hidden="false" customHeight="true" outlineLevel="0" collapsed="false">
      <c r="B27" s="5" t="s">
        <v>220</v>
      </c>
      <c r="C27" s="24" t="n">
        <v>1074.5</v>
      </c>
      <c r="D27" s="5" t="s">
        <v>212</v>
      </c>
      <c r="G27" s="7" t="s">
        <v>221</v>
      </c>
    </row>
    <row r="29" customFormat="false" ht="21.75" hidden="false" customHeight="true" outlineLevel="0" collapsed="false">
      <c r="B29" s="2" t="s">
        <v>222</v>
      </c>
      <c r="C29" s="3"/>
      <c r="D29" s="3"/>
      <c r="E29" s="3"/>
      <c r="F29" s="3"/>
      <c r="G29" s="3"/>
      <c r="H29" s="3"/>
    </row>
    <row r="30" customFormat="false" ht="15" hidden="false" customHeight="true" outlineLevel="0" collapsed="false">
      <c r="B30" s="7" t="s">
        <v>223</v>
      </c>
    </row>
    <row r="31" customFormat="false" ht="15" hidden="false" customHeight="true" outlineLevel="0" collapsed="false">
      <c r="B31" s="15" t="s">
        <v>209</v>
      </c>
      <c r="C31" s="16" t="s">
        <v>224</v>
      </c>
      <c r="D31" s="16" t="s">
        <v>225</v>
      </c>
      <c r="E31" s="16" t="s">
        <v>155</v>
      </c>
    </row>
    <row r="32" customFormat="false" ht="15" hidden="false" customHeight="true" outlineLevel="0" collapsed="false">
      <c r="B32" s="5" t="s">
        <v>226</v>
      </c>
      <c r="C32" s="14" t="n">
        <v>77801</v>
      </c>
      <c r="D32" s="14" t="n">
        <v>841</v>
      </c>
      <c r="E32" s="5" t="s">
        <v>201</v>
      </c>
    </row>
    <row r="33" customFormat="false" ht="15" hidden="false" customHeight="true" outlineLevel="0" collapsed="false">
      <c r="B33" s="5" t="s">
        <v>227</v>
      </c>
      <c r="C33" s="14" t="n">
        <v>72588</v>
      </c>
      <c r="D33" s="14" t="n">
        <v>2548</v>
      </c>
      <c r="E33" s="5" t="s">
        <v>201</v>
      </c>
    </row>
    <row r="34" customFormat="false" ht="15" hidden="false" customHeight="true" outlineLevel="0" collapsed="false">
      <c r="B34" s="5" t="s">
        <v>228</v>
      </c>
      <c r="C34" s="14" t="n">
        <v>73133</v>
      </c>
      <c r="D34" s="14" t="n">
        <v>4208</v>
      </c>
      <c r="E34" s="5" t="s">
        <v>201</v>
      </c>
    </row>
    <row r="35" customFormat="false" ht="15" hidden="false" customHeight="true" outlineLevel="0" collapsed="false">
      <c r="B35" s="5" t="s">
        <v>229</v>
      </c>
      <c r="C35" s="14" t="n">
        <v>78059</v>
      </c>
      <c r="D35" s="14" t="n">
        <v>2132</v>
      </c>
      <c r="E35" s="5" t="s">
        <v>201</v>
      </c>
    </row>
    <row r="36" customFormat="false" ht="15" hidden="false" customHeight="true" outlineLevel="0" collapsed="false">
      <c r="B36" s="5" t="s">
        <v>230</v>
      </c>
      <c r="C36" s="14" t="n">
        <v>70772</v>
      </c>
      <c r="D36" s="14" t="n">
        <v>9258</v>
      </c>
      <c r="E36" s="5" t="s">
        <v>201</v>
      </c>
      <c r="G36" s="7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4" min="3" style="1" width="12"/>
    <col collapsed="false" customWidth="true" hidden="false" outlineLevel="0" max="7" min="5" style="1" width="14"/>
    <col collapsed="false" customWidth="true" hidden="false" outlineLevel="0" max="8" min="8" style="1" width="40"/>
    <col collapsed="false" customWidth="true" hidden="false" outlineLevel="0" max="9" min="9" style="1" width="2"/>
  </cols>
  <sheetData>
    <row r="2" customFormat="false" ht="27.75" hidden="false" customHeight="true" outlineLevel="0" collapsed="false">
      <c r="B2" s="2" t="s">
        <v>232</v>
      </c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B4" s="7" t="s">
        <v>233</v>
      </c>
    </row>
    <row r="6" customFormat="false" ht="21.75" hidden="false" customHeight="true" outlineLevel="0" collapsed="false">
      <c r="B6" s="2" t="s">
        <v>234</v>
      </c>
      <c r="C6" s="3"/>
      <c r="D6" s="3"/>
      <c r="E6" s="3"/>
      <c r="F6" s="3"/>
      <c r="G6" s="3"/>
      <c r="H6" s="3"/>
      <c r="I6" s="3"/>
    </row>
    <row r="7" customFormat="false" ht="15" hidden="false" customHeight="true" outlineLevel="0" collapsed="false">
      <c r="B7" s="15" t="s">
        <v>235</v>
      </c>
      <c r="C7" s="16" t="s">
        <v>236</v>
      </c>
      <c r="D7" s="16" t="s">
        <v>237</v>
      </c>
      <c r="E7" s="16" t="s">
        <v>201</v>
      </c>
      <c r="F7" s="16" t="s">
        <v>109</v>
      </c>
      <c r="G7" s="16" t="s">
        <v>139</v>
      </c>
      <c r="H7" s="16" t="s">
        <v>155</v>
      </c>
    </row>
    <row r="8" customFormat="false" ht="15" hidden="false" customHeight="true" outlineLevel="0" collapsed="false">
      <c r="B8" s="5" t="s">
        <v>238</v>
      </c>
      <c r="C8" s="23" t="n">
        <f aca="false">i_u_wall</f>
        <v>0.18</v>
      </c>
      <c r="D8" s="25" t="n">
        <f aca="false">02_Geometry!$E$12</f>
        <v>423.36</v>
      </c>
      <c r="E8" s="25" t="n">
        <f aca="false">04_Weather!$C$32</f>
        <v>77801</v>
      </c>
      <c r="F8" s="14" t="n">
        <f aca="false">C8*D8*E8/1000</f>
        <v>5928.8096448</v>
      </c>
      <c r="G8" s="13" t="n">
        <f aca="false">F8/1000</f>
        <v>5.9288096448</v>
      </c>
      <c r="H8" s="7" t="s">
        <v>239</v>
      </c>
    </row>
    <row r="9" customFormat="false" ht="15" hidden="false" customHeight="true" outlineLevel="0" collapsed="false">
      <c r="B9" s="5" t="s">
        <v>240</v>
      </c>
      <c r="C9" s="23" t="n">
        <f aca="false">i_u_wall</f>
        <v>0.18</v>
      </c>
      <c r="D9" s="25" t="n">
        <f aca="false">02_Geometry!$E$13</f>
        <v>230.496</v>
      </c>
      <c r="E9" s="25" t="n">
        <f aca="false">04_Weather!$C$33</f>
        <v>72588</v>
      </c>
      <c r="F9" s="14" t="n">
        <f aca="false">C9*D9*E9/1000</f>
        <v>3011.62385664</v>
      </c>
      <c r="G9" s="13" t="n">
        <f aca="false">F9/1000</f>
        <v>3.01162385664</v>
      </c>
      <c r="H9" s="7" t="s">
        <v>239</v>
      </c>
    </row>
    <row r="10" customFormat="false" ht="15" hidden="false" customHeight="true" outlineLevel="0" collapsed="false">
      <c r="B10" s="5" t="s">
        <v>241</v>
      </c>
      <c r="C10" s="23" t="n">
        <f aca="false">i_u_wall</f>
        <v>0.18</v>
      </c>
      <c r="D10" s="25" t="n">
        <f aca="false">02_Geometry!$E$14</f>
        <v>827.904</v>
      </c>
      <c r="E10" s="25" t="n">
        <f aca="false">04_Weather!$C$34</f>
        <v>73133</v>
      </c>
      <c r="F10" s="14" t="n">
        <f aca="false">C10*D10*E10/1000</f>
        <v>10898.47858176</v>
      </c>
      <c r="G10" s="13" t="n">
        <f aca="false">F10/1000</f>
        <v>10.89847858176</v>
      </c>
      <c r="H10" s="7" t="s">
        <v>239</v>
      </c>
    </row>
    <row r="11" customFormat="false" ht="15" hidden="false" customHeight="true" outlineLevel="0" collapsed="false">
      <c r="B11" s="5" t="s">
        <v>242</v>
      </c>
      <c r="C11" s="23" t="n">
        <f aca="false">i_u_wall</f>
        <v>0.18</v>
      </c>
      <c r="D11" s="25" t="n">
        <f aca="false">02_Geometry!$E$15</f>
        <v>230.496</v>
      </c>
      <c r="E11" s="25" t="n">
        <f aca="false">04_Weather!$C$35</f>
        <v>78059</v>
      </c>
      <c r="F11" s="14" t="n">
        <f aca="false">C11*D11*E11/1000</f>
        <v>3238.61170752</v>
      </c>
      <c r="G11" s="13" t="n">
        <f aca="false">F11/1000</f>
        <v>3.23861170752</v>
      </c>
      <c r="H11" s="7" t="s">
        <v>239</v>
      </c>
    </row>
    <row r="12" customFormat="false" ht="15" hidden="false" customHeight="true" outlineLevel="0" collapsed="false">
      <c r="B12" s="5" t="s">
        <v>243</v>
      </c>
      <c r="C12" s="23" t="n">
        <f aca="false">i_u_roof</f>
        <v>0.16</v>
      </c>
      <c r="D12" s="25" t="n">
        <f aca="false">i_length*i_width</f>
        <v>864.36</v>
      </c>
      <c r="E12" s="25" t="n">
        <f aca="false">04_Weather!$C$36</f>
        <v>70772</v>
      </c>
      <c r="F12" s="14" t="n">
        <f aca="false">C12*D12*E12/1000</f>
        <v>9787.5977472</v>
      </c>
      <c r="G12" s="13" t="n">
        <f aca="false">F12/1000</f>
        <v>9.7875977472</v>
      </c>
      <c r="H12" s="7" t="s">
        <v>239</v>
      </c>
    </row>
    <row r="14" customFormat="false" ht="21.75" hidden="false" customHeight="true" outlineLevel="0" collapsed="false">
      <c r="B14" s="2" t="s">
        <v>244</v>
      </c>
      <c r="C14" s="3"/>
      <c r="D14" s="3"/>
      <c r="E14" s="3"/>
      <c r="F14" s="3"/>
      <c r="G14" s="3"/>
      <c r="H14" s="3"/>
      <c r="I14" s="3"/>
    </row>
    <row r="15" customFormat="false" ht="15" hidden="false" customHeight="true" outlineLevel="0" collapsed="false">
      <c r="B15" s="15" t="s">
        <v>235</v>
      </c>
      <c r="C15" s="16" t="s">
        <v>236</v>
      </c>
      <c r="D15" s="16" t="s">
        <v>237</v>
      </c>
      <c r="E15" s="16" t="s">
        <v>201</v>
      </c>
      <c r="F15" s="16" t="s">
        <v>109</v>
      </c>
      <c r="G15" s="16" t="s">
        <v>139</v>
      </c>
      <c r="H15" s="16" t="s">
        <v>155</v>
      </c>
    </row>
    <row r="16" customFormat="false" ht="15" hidden="false" customHeight="true" outlineLevel="0" collapsed="false">
      <c r="B16" s="5" t="s">
        <v>245</v>
      </c>
      <c r="C16" s="23" t="n">
        <f aca="false">i_u_glaz</f>
        <v>1.4</v>
      </c>
      <c r="D16" s="25" t="n">
        <f aca="false">02_Geometry!$D$12</f>
        <v>517.44</v>
      </c>
      <c r="E16" s="25" t="n">
        <f aca="false">04_Weather!$C$16</f>
        <v>86328</v>
      </c>
      <c r="F16" s="14" t="n">
        <f aca="false">C16*D16*E16/1000</f>
        <v>62537.384448</v>
      </c>
      <c r="G16" s="13" t="n">
        <f aca="false">F16/1000</f>
        <v>62.537384448</v>
      </c>
      <c r="H16" s="7" t="s">
        <v>246</v>
      </c>
    </row>
    <row r="17" customFormat="false" ht="15" hidden="false" customHeight="true" outlineLevel="0" collapsed="false">
      <c r="B17" s="5" t="s">
        <v>247</v>
      </c>
      <c r="C17" s="23" t="n">
        <f aca="false">i_u_glaz</f>
        <v>1.4</v>
      </c>
      <c r="D17" s="25" t="n">
        <f aca="false">02_Geometry!$D$13</f>
        <v>4.704</v>
      </c>
      <c r="E17" s="25" t="n">
        <f aca="false">04_Weather!$C$16</f>
        <v>86328</v>
      </c>
      <c r="F17" s="14" t="n">
        <f aca="false">C17*D17*E17/1000</f>
        <v>568.5216768</v>
      </c>
      <c r="G17" s="13" t="n">
        <f aca="false">F17/1000</f>
        <v>0.5685216768</v>
      </c>
      <c r="H17" s="7" t="s">
        <v>246</v>
      </c>
    </row>
    <row r="18" customFormat="false" ht="15" hidden="false" customHeight="true" outlineLevel="0" collapsed="false">
      <c r="B18" s="5" t="s">
        <v>248</v>
      </c>
      <c r="C18" s="23" t="n">
        <f aca="false">i_u_glaz</f>
        <v>1.4</v>
      </c>
      <c r="D18" s="25" t="n">
        <f aca="false">02_Geometry!$D$14</f>
        <v>112.896</v>
      </c>
      <c r="E18" s="25" t="n">
        <f aca="false">04_Weather!$C$16</f>
        <v>86328</v>
      </c>
      <c r="F18" s="14" t="n">
        <f aca="false">C18*D18*E18/1000</f>
        <v>13644.5202432</v>
      </c>
      <c r="G18" s="13" t="n">
        <f aca="false">F18/1000</f>
        <v>13.6445202432</v>
      </c>
      <c r="H18" s="7" t="s">
        <v>246</v>
      </c>
    </row>
    <row r="19" customFormat="false" ht="15" hidden="false" customHeight="true" outlineLevel="0" collapsed="false">
      <c r="B19" s="5" t="s">
        <v>249</v>
      </c>
      <c r="C19" s="23" t="n">
        <f aca="false">i_u_glaz</f>
        <v>1.4</v>
      </c>
      <c r="D19" s="25" t="n">
        <f aca="false">02_Geometry!$D$15</f>
        <v>4.704</v>
      </c>
      <c r="E19" s="25" t="n">
        <f aca="false">04_Weather!$C$16</f>
        <v>86328</v>
      </c>
      <c r="F19" s="14" t="n">
        <f aca="false">C19*D19*E19/1000</f>
        <v>568.5216768</v>
      </c>
      <c r="G19" s="13" t="n">
        <f aca="false">F19/1000</f>
        <v>0.5685216768</v>
      </c>
      <c r="H19" s="7" t="s">
        <v>246</v>
      </c>
    </row>
    <row r="21" customFormat="false" ht="21.75" hidden="false" customHeight="true" outlineLevel="0" collapsed="false">
      <c r="B21" s="2" t="s">
        <v>250</v>
      </c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B22" s="5" t="s">
        <v>251</v>
      </c>
      <c r="C22" s="23" t="n">
        <f aca="false">i_u_floor</f>
        <v>0.22</v>
      </c>
      <c r="D22" s="25" t="n">
        <f aca="false">i_length*i_width</f>
        <v>864.36</v>
      </c>
      <c r="E22" s="25" t="n">
        <f aca="false">04_Weather!$C$19</f>
        <v>85322</v>
      </c>
      <c r="F22" s="14" t="n">
        <f aca="false">C22*D22*E22/1000</f>
        <v>16224.7632624</v>
      </c>
      <c r="G22" s="13" t="n">
        <f aca="false">F22/1000</f>
        <v>16.2247632624</v>
      </c>
      <c r="H22" s="7" t="s">
        <v>252</v>
      </c>
    </row>
    <row r="24" customFormat="false" ht="21.75" hidden="false" customHeight="true" outlineLevel="0" collapsed="false">
      <c r="B24" s="2" t="s">
        <v>253</v>
      </c>
      <c r="C24" s="3"/>
      <c r="D24" s="3"/>
      <c r="E24" s="3"/>
      <c r="F24" s="3"/>
      <c r="G24" s="3"/>
      <c r="H24" s="3"/>
      <c r="I24" s="3"/>
    </row>
    <row r="25" customFormat="false" ht="15" hidden="false" customHeight="true" outlineLevel="0" collapsed="false">
      <c r="B25" s="15" t="s">
        <v>254</v>
      </c>
      <c r="C25" s="16" t="s">
        <v>255</v>
      </c>
      <c r="D25" s="16" t="s">
        <v>256</v>
      </c>
      <c r="E25" s="16" t="s">
        <v>201</v>
      </c>
      <c r="F25" s="16" t="s">
        <v>109</v>
      </c>
      <c r="G25" s="16" t="s">
        <v>139</v>
      </c>
      <c r="H25" s="16" t="s">
        <v>155</v>
      </c>
    </row>
    <row r="26" customFormat="false" ht="15" hidden="false" customHeight="true" outlineLevel="0" collapsed="false">
      <c r="B26" s="5" t="s">
        <v>257</v>
      </c>
      <c r="C26" s="14" t="n">
        <f aca="false">i_rho_air*i_cp_air*i_ach_inf*(i_length*i_width*i_floors*i_floor_h)/3600</f>
        <v>926.59392</v>
      </c>
      <c r="D26" s="7" t="s">
        <v>256</v>
      </c>
      <c r="E26" s="25" t="n">
        <f aca="false">04_Weather!$C$16</f>
        <v>86328</v>
      </c>
      <c r="F26" s="14" t="n">
        <f aca="false">C26*E26/1000</f>
        <v>79990.99992576</v>
      </c>
      <c r="G26" s="13" t="n">
        <f aca="false">F26/1000</f>
        <v>79.99099992576</v>
      </c>
      <c r="H26" s="7" t="s">
        <v>258</v>
      </c>
    </row>
    <row r="27" customFormat="false" ht="15" hidden="false" customHeight="true" outlineLevel="0" collapsed="false">
      <c r="B27" s="5" t="s">
        <v>259</v>
      </c>
      <c r="C27" s="14" t="n">
        <f aca="false">i_rho_air*i_cp_air*i_ach_perm*(i_length*i_width*i_floors*i_floor_h)/3600</f>
        <v>602.286048</v>
      </c>
      <c r="D27" s="7" t="s">
        <v>256</v>
      </c>
      <c r="E27" s="25" t="n">
        <f aca="false">04_Weather!$C$16</f>
        <v>86328</v>
      </c>
      <c r="F27" s="14" t="n">
        <f aca="false">C27*E27/1000</f>
        <v>51994.149951744</v>
      </c>
      <c r="G27" s="13" t="n">
        <f aca="false">F27/1000</f>
        <v>51.994149951744</v>
      </c>
      <c r="H27" s="7" t="s">
        <v>260</v>
      </c>
    </row>
    <row r="29" customFormat="false" ht="21.75" hidden="false" customHeight="true" outlineLevel="0" collapsed="false">
      <c r="B29" s="2" t="s">
        <v>261</v>
      </c>
      <c r="C29" s="3"/>
      <c r="D29" s="3"/>
      <c r="E29" s="3"/>
      <c r="F29" s="3"/>
      <c r="G29" s="3"/>
      <c r="H29" s="3"/>
      <c r="I29" s="3"/>
    </row>
    <row r="30" customFormat="false" ht="15" hidden="false" customHeight="true" outlineLevel="0" collapsed="false">
      <c r="B30" s="5" t="s">
        <v>262</v>
      </c>
      <c r="F30" s="12" t="n">
        <f aca="false">F8+F9+F10+F11+F12+F16+F17+F18+F19+F22+F26+F27</f>
        <v>258393.982722624</v>
      </c>
      <c r="G30" s="26" t="n">
        <f aca="false">F30/1000</f>
        <v>258.393982722624</v>
      </c>
      <c r="H30" s="7" t="s">
        <v>263</v>
      </c>
    </row>
    <row r="32" customFormat="false" ht="21.75" hidden="false" customHeight="true" outlineLevel="0" collapsed="false">
      <c r="B32" s="2" t="s">
        <v>264</v>
      </c>
      <c r="C32" s="3"/>
      <c r="D32" s="3"/>
      <c r="E32" s="3"/>
      <c r="F32" s="3"/>
      <c r="G32" s="3"/>
      <c r="H32" s="3"/>
      <c r="I32" s="3"/>
    </row>
    <row r="33" customFormat="false" ht="15" hidden="false" customHeight="true" outlineLevel="0" collapsed="false">
      <c r="B33" s="7" t="s">
        <v>265</v>
      </c>
    </row>
    <row r="34" customFormat="false" ht="15" hidden="false" customHeight="true" outlineLevel="0" collapsed="false">
      <c r="B34" s="7" t="s">
        <v>266</v>
      </c>
    </row>
    <row r="35" customFormat="false" ht="15" hidden="false" customHeight="true" outlineLevel="0" collapsed="false">
      <c r="B35" s="5" t="s">
        <v>267</v>
      </c>
      <c r="C35" s="14" t="n">
        <f aca="false">(C26+C27) + (i_u_wall*i_length*i_floors*i_floor_h*(1-i_wwr_F1)) + (i_u_wall*i_width*i_floors*i_floor_h*(1-i_wwr_F2)) + (i_u_wall*i_length*i_floors*i_floor_h*(1-i_wwr_F3)) + (i_u_wall*i_width*i_floors*i_floor_h*(1-i_wwr_F4)) + (i_u_roof*i_length*i_width) + (i_u_floor*i_length*i_width) + (i_u_glaz*((i_length*i_floors*i_floor_h*(i_wwr_F1+i_wwr_F3))+(i_width*i_floors*i_floor_h*(i_wwr_F2+i_wwr_F4))))</f>
        <v>3061.184448</v>
      </c>
      <c r="D35" s="5" t="s">
        <v>268</v>
      </c>
    </row>
    <row r="36" customFormat="false" ht="15" hidden="false" customHeight="true" outlineLevel="0" collapsed="false">
      <c r="B36" s="5" t="s">
        <v>269</v>
      </c>
      <c r="F36" s="12" t="n">
        <f aca="false">05_Heat_Loss!$C$35*04_Weather!$C$14*24/1000</f>
        <v>127541.188841472</v>
      </c>
      <c r="G36" s="26" t="n">
        <f aca="false">F36/1000</f>
        <v>127.541188841472</v>
      </c>
      <c r="H36" s="7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4" min="3" style="1" width="12"/>
    <col collapsed="false" customWidth="true" hidden="false" outlineLevel="0" max="7" min="5" style="1" width="14"/>
    <col collapsed="false" customWidth="true" hidden="false" outlineLevel="0" max="8" min="8" style="1" width="40"/>
    <col collapsed="false" customWidth="true" hidden="false" outlineLevel="0" max="9" min="9" style="1" width="2"/>
  </cols>
  <sheetData>
    <row r="2" customFormat="false" ht="27.75" hidden="false" customHeight="true" outlineLevel="0" collapsed="false">
      <c r="B2" s="2" t="s">
        <v>271</v>
      </c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B4" s="7" t="s">
        <v>272</v>
      </c>
    </row>
    <row r="6" customFormat="false" ht="21.75" hidden="false" customHeight="true" outlineLevel="0" collapsed="false">
      <c r="B6" s="2" t="s">
        <v>273</v>
      </c>
      <c r="C6" s="3"/>
      <c r="D6" s="3"/>
      <c r="E6" s="3"/>
      <c r="F6" s="3"/>
      <c r="G6" s="3"/>
      <c r="H6" s="3"/>
      <c r="I6" s="3"/>
    </row>
    <row r="7" customFormat="false" ht="15" hidden="false" customHeight="true" outlineLevel="0" collapsed="false">
      <c r="B7" s="15" t="s">
        <v>235</v>
      </c>
      <c r="C7" s="16" t="s">
        <v>236</v>
      </c>
      <c r="D7" s="16" t="s">
        <v>237</v>
      </c>
      <c r="E7" s="16" t="s">
        <v>201</v>
      </c>
      <c r="F7" s="16" t="s">
        <v>109</v>
      </c>
      <c r="G7" s="16" t="s">
        <v>139</v>
      </c>
      <c r="H7" s="16" t="s">
        <v>155</v>
      </c>
    </row>
    <row r="8" customFormat="false" ht="15" hidden="false" customHeight="true" outlineLevel="0" collapsed="false">
      <c r="B8" s="5" t="s">
        <v>274</v>
      </c>
      <c r="C8" s="23" t="n">
        <f aca="false">i_u_wall</f>
        <v>0.18</v>
      </c>
      <c r="D8" s="25" t="n">
        <f aca="false">02_Geometry!$E$12</f>
        <v>423.36</v>
      </c>
      <c r="E8" s="25" t="n">
        <f aca="false">04_Weather!$D$32</f>
        <v>841</v>
      </c>
      <c r="F8" s="14" t="n">
        <f aca="false">C8*D8*E8/1000</f>
        <v>64.0882368</v>
      </c>
      <c r="G8" s="13" t="n">
        <f aca="false">F8/1000</f>
        <v>0.0640882368</v>
      </c>
    </row>
    <row r="9" customFormat="false" ht="15" hidden="false" customHeight="true" outlineLevel="0" collapsed="false">
      <c r="B9" s="5" t="s">
        <v>275</v>
      </c>
      <c r="C9" s="23" t="n">
        <f aca="false">i_u_wall</f>
        <v>0.18</v>
      </c>
      <c r="D9" s="25" t="n">
        <f aca="false">02_Geometry!$E$13</f>
        <v>230.496</v>
      </c>
      <c r="E9" s="25" t="n">
        <f aca="false">04_Weather!$D$33</f>
        <v>2548</v>
      </c>
      <c r="F9" s="14" t="n">
        <f aca="false">C9*D9*E9/1000</f>
        <v>105.71468544</v>
      </c>
      <c r="G9" s="13" t="n">
        <f aca="false">F9/1000</f>
        <v>0.10571468544</v>
      </c>
    </row>
    <row r="10" customFormat="false" ht="15" hidden="false" customHeight="true" outlineLevel="0" collapsed="false">
      <c r="B10" s="5" t="s">
        <v>276</v>
      </c>
      <c r="C10" s="23" t="n">
        <f aca="false">i_u_wall</f>
        <v>0.18</v>
      </c>
      <c r="D10" s="25" t="n">
        <f aca="false">02_Geometry!$E$14</f>
        <v>827.904</v>
      </c>
      <c r="E10" s="25" t="n">
        <f aca="false">04_Weather!$D$34</f>
        <v>4208</v>
      </c>
      <c r="F10" s="14" t="n">
        <f aca="false">C10*D10*E10/1000</f>
        <v>627.08760576</v>
      </c>
      <c r="G10" s="13" t="n">
        <f aca="false">F10/1000</f>
        <v>0.62708760576</v>
      </c>
    </row>
    <row r="11" customFormat="false" ht="15" hidden="false" customHeight="true" outlineLevel="0" collapsed="false">
      <c r="B11" s="5" t="s">
        <v>277</v>
      </c>
      <c r="C11" s="23" t="n">
        <f aca="false">i_u_wall</f>
        <v>0.18</v>
      </c>
      <c r="D11" s="25" t="n">
        <f aca="false">02_Geometry!$E$15</f>
        <v>230.496</v>
      </c>
      <c r="E11" s="25" t="n">
        <f aca="false">04_Weather!$D$35</f>
        <v>2132</v>
      </c>
      <c r="F11" s="14" t="n">
        <f aca="false">C11*D11*E11/1000</f>
        <v>88.45514496</v>
      </c>
      <c r="G11" s="13" t="n">
        <f aca="false">F11/1000</f>
        <v>0.08845514496</v>
      </c>
    </row>
    <row r="12" customFormat="false" ht="15" hidden="false" customHeight="true" outlineLevel="0" collapsed="false">
      <c r="B12" s="5" t="s">
        <v>278</v>
      </c>
      <c r="C12" s="23" t="n">
        <f aca="false">i_u_roof</f>
        <v>0.16</v>
      </c>
      <c r="D12" s="25" t="n">
        <f aca="false">i_length*i_width</f>
        <v>864.36</v>
      </c>
      <c r="E12" s="25" t="n">
        <f aca="false">04_Weather!$D$36</f>
        <v>9258</v>
      </c>
      <c r="F12" s="14" t="n">
        <f aca="false">C12*D12*E12/1000</f>
        <v>1280.3591808</v>
      </c>
      <c r="G12" s="13" t="n">
        <f aca="false">F12/1000</f>
        <v>1.2803591808</v>
      </c>
    </row>
    <row r="14" customFormat="false" ht="21.75" hidden="false" customHeight="true" outlineLevel="0" collapsed="false">
      <c r="B14" s="2" t="s">
        <v>279</v>
      </c>
      <c r="C14" s="3"/>
      <c r="D14" s="3"/>
      <c r="E14" s="3"/>
      <c r="F14" s="3"/>
      <c r="G14" s="3"/>
      <c r="H14" s="3"/>
      <c r="I14" s="3"/>
    </row>
    <row r="15" customFormat="false" ht="15" hidden="false" customHeight="true" outlineLevel="0" collapsed="false">
      <c r="B15" s="15" t="s">
        <v>235</v>
      </c>
      <c r="C15" s="16" t="s">
        <v>236</v>
      </c>
      <c r="D15" s="16" t="s">
        <v>237</v>
      </c>
      <c r="E15" s="16" t="s">
        <v>201</v>
      </c>
      <c r="F15" s="16" t="s">
        <v>109</v>
      </c>
      <c r="G15" s="16" t="s">
        <v>139</v>
      </c>
      <c r="H15" s="16" t="s">
        <v>155</v>
      </c>
    </row>
    <row r="16" customFormat="false" ht="15" hidden="false" customHeight="true" outlineLevel="0" collapsed="false">
      <c r="B16" s="5" t="s">
        <v>280</v>
      </c>
      <c r="C16" s="23" t="n">
        <f aca="false">i_u_glaz</f>
        <v>1.4</v>
      </c>
      <c r="D16" s="25" t="n">
        <f aca="false">02_Geometry!$D$12</f>
        <v>517.44</v>
      </c>
      <c r="E16" s="25" t="n">
        <f aca="false">04_Weather!$C$17</f>
        <v>227</v>
      </c>
      <c r="F16" s="14" t="n">
        <f aca="false">C16*D16*E16/1000</f>
        <v>164.442432</v>
      </c>
      <c r="G16" s="13" t="n">
        <f aca="false">F16/1000</f>
        <v>0.164442432</v>
      </c>
    </row>
    <row r="17" customFormat="false" ht="15" hidden="false" customHeight="true" outlineLevel="0" collapsed="false">
      <c r="B17" s="5" t="s">
        <v>281</v>
      </c>
      <c r="C17" s="23" t="n">
        <f aca="false">i_u_glaz</f>
        <v>1.4</v>
      </c>
      <c r="D17" s="25" t="n">
        <f aca="false">02_Geometry!$D$13</f>
        <v>4.704</v>
      </c>
      <c r="E17" s="25" t="n">
        <f aca="false">04_Weather!$C$17</f>
        <v>227</v>
      </c>
      <c r="F17" s="14" t="n">
        <f aca="false">C17*D17*E17/1000</f>
        <v>1.4949312</v>
      </c>
      <c r="G17" s="13" t="n">
        <f aca="false">F17/1000</f>
        <v>0.0014949312</v>
      </c>
    </row>
    <row r="18" customFormat="false" ht="15" hidden="false" customHeight="true" outlineLevel="0" collapsed="false">
      <c r="B18" s="5" t="s">
        <v>282</v>
      </c>
      <c r="C18" s="23" t="n">
        <f aca="false">i_u_glaz</f>
        <v>1.4</v>
      </c>
      <c r="D18" s="25" t="n">
        <f aca="false">02_Geometry!$D$14</f>
        <v>112.896</v>
      </c>
      <c r="E18" s="25" t="n">
        <f aca="false">04_Weather!$C$17</f>
        <v>227</v>
      </c>
      <c r="F18" s="14" t="n">
        <f aca="false">C18*D18*E18/1000</f>
        <v>35.8783488</v>
      </c>
      <c r="G18" s="13" t="n">
        <f aca="false">F18/1000</f>
        <v>0.0358783488</v>
      </c>
    </row>
    <row r="19" customFormat="false" ht="15" hidden="false" customHeight="true" outlineLevel="0" collapsed="false">
      <c r="B19" s="5" t="s">
        <v>283</v>
      </c>
      <c r="C19" s="23" t="n">
        <f aca="false">i_u_glaz</f>
        <v>1.4</v>
      </c>
      <c r="D19" s="25" t="n">
        <f aca="false">02_Geometry!$D$15</f>
        <v>4.704</v>
      </c>
      <c r="E19" s="25" t="n">
        <f aca="false">04_Weather!$C$17</f>
        <v>227</v>
      </c>
      <c r="F19" s="14" t="n">
        <f aca="false">C19*D19*E19/1000</f>
        <v>1.4949312</v>
      </c>
      <c r="G19" s="13" t="n">
        <f aca="false">F19/1000</f>
        <v>0.0014949312</v>
      </c>
    </row>
    <row r="21" customFormat="false" ht="21.75" hidden="false" customHeight="true" outlineLevel="0" collapsed="false">
      <c r="B21" s="2" t="s">
        <v>284</v>
      </c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B22" s="15" t="s">
        <v>150</v>
      </c>
      <c r="C22" s="16" t="s">
        <v>285</v>
      </c>
      <c r="D22" s="16" t="s">
        <v>152</v>
      </c>
      <c r="E22" s="16" t="s">
        <v>286</v>
      </c>
      <c r="F22" s="16" t="s">
        <v>109</v>
      </c>
      <c r="G22" s="16" t="s">
        <v>139</v>
      </c>
      <c r="H22" s="16" t="s">
        <v>155</v>
      </c>
    </row>
    <row r="23" customFormat="false" ht="15" hidden="false" customHeight="true" outlineLevel="0" collapsed="false">
      <c r="B23" s="5" t="s">
        <v>287</v>
      </c>
      <c r="C23" s="23" t="n">
        <f aca="false">i_g_value</f>
        <v>0.42</v>
      </c>
      <c r="D23" s="25" t="n">
        <f aca="false">02_Geometry!$D$12</f>
        <v>517.44</v>
      </c>
      <c r="E23" s="27" t="n">
        <f aca="false">04_Weather!$C$23</f>
        <v>444.4</v>
      </c>
      <c r="F23" s="14" t="n">
        <f aca="false">C23*D23*E23*(1-i_frame_frac)</f>
        <v>77263.312896</v>
      </c>
      <c r="G23" s="13" t="n">
        <f aca="false">F23/1000</f>
        <v>77.263312896</v>
      </c>
      <c r="H23" s="7" t="s">
        <v>288</v>
      </c>
    </row>
    <row r="24" customFormat="false" ht="15" hidden="false" customHeight="true" outlineLevel="0" collapsed="false">
      <c r="B24" s="5" t="s">
        <v>289</v>
      </c>
      <c r="C24" s="23" t="n">
        <f aca="false">i_g_value</f>
        <v>0.42</v>
      </c>
      <c r="D24" s="25" t="n">
        <f aca="false">02_Geometry!$D$13</f>
        <v>4.704</v>
      </c>
      <c r="E24" s="27" t="n">
        <f aca="false">04_Weather!$C$24</f>
        <v>801.7</v>
      </c>
      <c r="F24" s="14" t="n">
        <f aca="false">C24*D24*E24*(1-i_frame_frac)</f>
        <v>1267.1221248</v>
      </c>
      <c r="G24" s="13" t="n">
        <f aca="false">F24/1000</f>
        <v>1.2671221248</v>
      </c>
      <c r="H24" s="7" t="s">
        <v>288</v>
      </c>
    </row>
    <row r="25" customFormat="false" ht="15" hidden="false" customHeight="true" outlineLevel="0" collapsed="false">
      <c r="B25" s="5" t="s">
        <v>290</v>
      </c>
      <c r="C25" s="23" t="n">
        <f aca="false">i_g_value</f>
        <v>0.42</v>
      </c>
      <c r="D25" s="25" t="n">
        <f aca="false">02_Geometry!$D$14</f>
        <v>112.896</v>
      </c>
      <c r="E25" s="27" t="n">
        <f aca="false">04_Weather!$C$25</f>
        <v>879.2</v>
      </c>
      <c r="F25" s="14" t="n">
        <f aca="false">C25*D25*E25*(1-i_frame_frac)</f>
        <v>33350.7428352</v>
      </c>
      <c r="G25" s="13" t="n">
        <f aca="false">F25/1000</f>
        <v>33.3507428352</v>
      </c>
      <c r="H25" s="7" t="s">
        <v>288</v>
      </c>
    </row>
    <row r="26" customFormat="false" ht="15" hidden="false" customHeight="true" outlineLevel="0" collapsed="false">
      <c r="B26" s="5" t="s">
        <v>291</v>
      </c>
      <c r="C26" s="23" t="n">
        <f aca="false">i_g_value</f>
        <v>0.42</v>
      </c>
      <c r="D26" s="25" t="n">
        <f aca="false">02_Geometry!$D$15</f>
        <v>4.704</v>
      </c>
      <c r="E26" s="27" t="n">
        <f aca="false">04_Weather!$C$26</f>
        <v>519.5</v>
      </c>
      <c r="F26" s="14" t="n">
        <f aca="false">C26*D26*E26*(1-i_frame_frac)</f>
        <v>821.092608</v>
      </c>
      <c r="G26" s="13" t="n">
        <f aca="false">F26/1000</f>
        <v>0.821092608</v>
      </c>
      <c r="H26" s="7" t="s">
        <v>288</v>
      </c>
    </row>
    <row r="28" customFormat="false" ht="21.75" hidden="false" customHeight="true" outlineLevel="0" collapsed="false">
      <c r="B28" s="2" t="s">
        <v>253</v>
      </c>
      <c r="C28" s="3"/>
      <c r="D28" s="3"/>
      <c r="E28" s="3"/>
      <c r="F28" s="3"/>
      <c r="G28" s="3"/>
      <c r="H28" s="3"/>
      <c r="I28" s="3"/>
    </row>
    <row r="29" customFormat="false" ht="15" hidden="false" customHeight="true" outlineLevel="0" collapsed="false">
      <c r="B29" s="5" t="s">
        <v>292</v>
      </c>
      <c r="C29" s="14" t="n">
        <f aca="false">i_rho_air*i_cp_air*(i_ach_inf+i_ach_perm)*(i_length*i_width*i_floors*i_floor_h)/3600</f>
        <v>1528.879968</v>
      </c>
      <c r="D29" s="5" t="s">
        <v>268</v>
      </c>
      <c r="E29" s="25" t="n">
        <f aca="false">04_Weather!$C$17</f>
        <v>227</v>
      </c>
      <c r="F29" s="14" t="n">
        <f aca="false">C29*E29/1000</f>
        <v>347.055752736</v>
      </c>
      <c r="G29" s="13" t="n">
        <f aca="false">F29/1000</f>
        <v>0.347055752736</v>
      </c>
    </row>
    <row r="31" customFormat="false" ht="21.75" hidden="false" customHeight="true" outlineLevel="0" collapsed="false">
      <c r="B31" s="2" t="s">
        <v>293</v>
      </c>
      <c r="C31" s="3"/>
      <c r="D31" s="3"/>
      <c r="E31" s="3"/>
      <c r="F31" s="3"/>
      <c r="G31" s="3"/>
      <c r="H31" s="3"/>
      <c r="I31" s="3"/>
    </row>
    <row r="32" customFormat="false" ht="15" hidden="false" customHeight="true" outlineLevel="0" collapsed="false">
      <c r="B32" s="5" t="s">
        <v>294</v>
      </c>
      <c r="F32" s="12" t="n">
        <f aca="false">F8+F9+F10+F11+F12</f>
        <v>2165.70485376</v>
      </c>
      <c r="G32" s="26" t="n">
        <f aca="false">F32/1000</f>
        <v>2.16570485376</v>
      </c>
    </row>
    <row r="33" customFormat="false" ht="15" hidden="false" customHeight="true" outlineLevel="0" collapsed="false">
      <c r="B33" s="5" t="s">
        <v>295</v>
      </c>
      <c r="F33" s="12" t="n">
        <f aca="false">F16+F17+F18+F19</f>
        <v>203.3106432</v>
      </c>
      <c r="G33" s="26" t="n">
        <f aca="false">F33/1000</f>
        <v>0.2033106432</v>
      </c>
    </row>
    <row r="34" customFormat="false" ht="15" hidden="false" customHeight="true" outlineLevel="0" collapsed="false">
      <c r="B34" s="5" t="s">
        <v>296</v>
      </c>
      <c r="F34" s="12" t="n">
        <f aca="false">F23+F24+F25+F26</f>
        <v>112702.270464</v>
      </c>
      <c r="G34" s="26" t="n">
        <f aca="false">F34/1000</f>
        <v>112.702270464</v>
      </c>
    </row>
    <row r="35" customFormat="false" ht="15" hidden="false" customHeight="true" outlineLevel="0" collapsed="false">
      <c r="B35" s="5" t="s">
        <v>297</v>
      </c>
      <c r="F35" s="12" t="n">
        <f aca="false">F29</f>
        <v>347.055752736</v>
      </c>
      <c r="G35" s="26" t="n">
        <f aca="false">F35/1000</f>
        <v>0.347055752736</v>
      </c>
    </row>
    <row r="37" customFormat="false" ht="15" hidden="false" customHeight="true" outlineLevel="0" collapsed="false">
      <c r="B37" s="5" t="s">
        <v>298</v>
      </c>
      <c r="F37" s="12" t="n">
        <f aca="false">F32+F33+F29</f>
        <v>2716.071249696</v>
      </c>
      <c r="G37" s="26" t="n">
        <f aca="false">F37/1000</f>
        <v>2.716071249696</v>
      </c>
      <c r="H37" s="7" t="s">
        <v>299</v>
      </c>
    </row>
    <row r="39" customFormat="false" ht="21.75" hidden="false" customHeight="true" outlineLevel="0" collapsed="false">
      <c r="B39" s="2" t="s">
        <v>300</v>
      </c>
      <c r="C39" s="3"/>
      <c r="D39" s="3"/>
      <c r="E39" s="3"/>
      <c r="F39" s="3"/>
      <c r="G39" s="3"/>
      <c r="H39" s="3"/>
      <c r="I39" s="3"/>
    </row>
    <row r="40" customFormat="false" ht="15" hidden="false" customHeight="true" outlineLevel="0" collapsed="false">
      <c r="B40" s="7" t="s">
        <v>301</v>
      </c>
    </row>
    <row r="41" customFormat="false" ht="15" hidden="false" customHeight="true" outlineLevel="0" collapsed="false">
      <c r="B41" s="15" t="s">
        <v>150</v>
      </c>
      <c r="C41" s="16" t="s">
        <v>302</v>
      </c>
      <c r="D41" s="16" t="s">
        <v>303</v>
      </c>
      <c r="E41" s="16" t="s">
        <v>304</v>
      </c>
      <c r="F41" s="16" t="s">
        <v>305</v>
      </c>
      <c r="G41" s="16" t="s">
        <v>306</v>
      </c>
      <c r="H41" s="16" t="s">
        <v>155</v>
      </c>
    </row>
    <row r="42" customFormat="false" ht="15" hidden="false" customHeight="true" outlineLevel="0" collapsed="false">
      <c r="B42" s="5" t="s">
        <v>307</v>
      </c>
      <c r="C42" s="14" t="n">
        <v>77266</v>
      </c>
      <c r="D42" s="14" t="n">
        <v>17463</v>
      </c>
      <c r="E42" s="14" t="n">
        <v>37662</v>
      </c>
      <c r="F42" s="14" t="n">
        <v>22142</v>
      </c>
      <c r="G42" s="17" t="n">
        <f aca="false">D42/C42</f>
        <v>0.22601144099604</v>
      </c>
      <c r="H42" s="7" t="s">
        <v>308</v>
      </c>
    </row>
    <row r="43" customFormat="false" ht="15" hidden="false" customHeight="true" outlineLevel="0" collapsed="false">
      <c r="B43" s="5" t="s">
        <v>309</v>
      </c>
      <c r="C43" s="14" t="n">
        <v>1267</v>
      </c>
      <c r="D43" s="14" t="n">
        <v>385</v>
      </c>
      <c r="E43" s="14" t="n">
        <v>541</v>
      </c>
      <c r="F43" s="14" t="n">
        <v>341</v>
      </c>
      <c r="G43" s="17" t="n">
        <f aca="false">D43/C43</f>
        <v>0.303867403314917</v>
      </c>
      <c r="H43" s="7" t="s">
        <v>310</v>
      </c>
    </row>
    <row r="44" customFormat="false" ht="15" hidden="false" customHeight="true" outlineLevel="0" collapsed="false">
      <c r="B44" s="5" t="s">
        <v>311</v>
      </c>
      <c r="C44" s="14" t="n">
        <v>33352</v>
      </c>
      <c r="D44" s="14" t="n">
        <v>8472</v>
      </c>
      <c r="E44" s="14" t="n">
        <v>16145</v>
      </c>
      <c r="F44" s="14" t="n">
        <v>8734</v>
      </c>
      <c r="G44" s="17" t="n">
        <f aca="false">D44/C44</f>
        <v>0.254017750059966</v>
      </c>
      <c r="H44" s="7" t="s">
        <v>312</v>
      </c>
    </row>
    <row r="45" customFormat="false" ht="15" hidden="false" customHeight="true" outlineLevel="0" collapsed="false">
      <c r="B45" s="5" t="s">
        <v>313</v>
      </c>
      <c r="C45" s="14" t="n">
        <v>821</v>
      </c>
      <c r="D45" s="14" t="n">
        <v>176</v>
      </c>
      <c r="E45" s="14" t="n">
        <v>431</v>
      </c>
      <c r="F45" s="14" t="n">
        <v>214</v>
      </c>
      <c r="G45" s="17" t="n">
        <f aca="false">D45/C45</f>
        <v>0.214372716199756</v>
      </c>
      <c r="H45" s="7" t="s">
        <v>314</v>
      </c>
    </row>
    <row r="46" customFormat="false" ht="15" hidden="false" customHeight="true" outlineLevel="0" collapsed="false">
      <c r="B46" s="4" t="s">
        <v>315</v>
      </c>
      <c r="C46" s="12" t="n">
        <f aca="false">SUM(C42:C45)</f>
        <v>112706</v>
      </c>
      <c r="D46" s="12" t="n">
        <f aca="false">SUM(D42:D45)</f>
        <v>26496</v>
      </c>
      <c r="E46" s="12" t="n">
        <f aca="false">SUM(E42:E45)</f>
        <v>54779</v>
      </c>
      <c r="F46" s="12" t="n">
        <f aca="false">SUM(F42:F45)</f>
        <v>31431</v>
      </c>
      <c r="G46" s="28" t="n">
        <f aca="false">D46/C46</f>
        <v>0.235089524958742</v>
      </c>
    </row>
    <row r="48" customFormat="false" ht="15" hidden="false" customHeight="true" outlineLevel="0" collapsed="false">
      <c r="B48" s="7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6" min="3" style="1" width="14"/>
    <col collapsed="false" customWidth="true" hidden="false" outlineLevel="0" max="7" min="7" style="1" width="40"/>
    <col collapsed="false" customWidth="true" hidden="false" outlineLevel="0" max="8" min="8" style="1" width="2"/>
  </cols>
  <sheetData>
    <row r="2" customFormat="false" ht="27.75" hidden="false" customHeight="true" outlineLevel="0" collapsed="false">
      <c r="B2" s="2" t="s">
        <v>317</v>
      </c>
      <c r="C2" s="3"/>
      <c r="D2" s="3"/>
      <c r="E2" s="3"/>
      <c r="F2" s="3"/>
      <c r="G2" s="3"/>
      <c r="H2" s="3"/>
    </row>
    <row r="4" customFormat="false" ht="21.75" hidden="false" customHeight="true" outlineLevel="0" collapsed="false">
      <c r="B4" s="2" t="s">
        <v>318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B5" s="15" t="s">
        <v>254</v>
      </c>
      <c r="C5" s="16" t="s">
        <v>319</v>
      </c>
      <c r="D5" s="16" t="s">
        <v>320</v>
      </c>
      <c r="E5" s="16" t="s">
        <v>109</v>
      </c>
      <c r="F5" s="16" t="s">
        <v>139</v>
      </c>
      <c r="G5" s="16" t="s">
        <v>155</v>
      </c>
    </row>
    <row r="6" customFormat="false" ht="15" hidden="false" customHeight="true" outlineLevel="0" collapsed="false">
      <c r="B6" s="5" t="s">
        <v>321</v>
      </c>
      <c r="C6" s="14" t="n">
        <f aca="false">i_pers_W</f>
        <v>75</v>
      </c>
      <c r="D6" s="25" t="n">
        <f aca="false">i_occ_h</f>
        <v>1649271</v>
      </c>
      <c r="E6" s="11" t="n">
        <v>108438</v>
      </c>
      <c r="F6" s="13" t="n">
        <f aca="false">E6/1000</f>
        <v>108.438</v>
      </c>
      <c r="G6" s="7" t="s">
        <v>322</v>
      </c>
    </row>
    <row r="7" customFormat="false" ht="15" hidden="false" customHeight="true" outlineLevel="0" collapsed="false">
      <c r="B7" s="5" t="s">
        <v>323</v>
      </c>
      <c r="C7" s="14" t="n">
        <f aca="false">i_light_LPD*(i_length*i_width*i_floors)</f>
        <v>34574.4</v>
      </c>
      <c r="D7" s="14" t="n">
        <f aca="false">i_light_h</f>
        <v>4380</v>
      </c>
      <c r="E7" s="11" t="n">
        <v>38268</v>
      </c>
      <c r="F7" s="13" t="n">
        <f aca="false">E7/1000</f>
        <v>38.268</v>
      </c>
      <c r="G7" s="7" t="s">
        <v>324</v>
      </c>
    </row>
    <row r="8" customFormat="false" ht="15" hidden="false" customHeight="true" outlineLevel="0" collapsed="false">
      <c r="B8" s="5" t="s">
        <v>325</v>
      </c>
      <c r="C8" s="14" t="n">
        <f aca="false">i_equip_LPD*(i_length*i_width*i_floors)</f>
        <v>64827</v>
      </c>
      <c r="D8" s="14" t="n">
        <f aca="false">i_equip_h</f>
        <v>6000</v>
      </c>
      <c r="E8" s="11" t="n">
        <v>39432</v>
      </c>
      <c r="F8" s="13" t="n">
        <f aca="false">E8/1000</f>
        <v>39.432</v>
      </c>
      <c r="G8" s="7" t="s">
        <v>326</v>
      </c>
    </row>
    <row r="9" customFormat="false" ht="15" hidden="false" customHeight="true" outlineLevel="0" collapsed="false">
      <c r="B9" s="5" t="s">
        <v>327</v>
      </c>
      <c r="C9" s="7" t="s">
        <v>256</v>
      </c>
      <c r="D9" s="7" t="s">
        <v>256</v>
      </c>
      <c r="E9" s="25" t="n">
        <f aca="false">i_refrig</f>
        <v>8000</v>
      </c>
      <c r="F9" s="13" t="n">
        <f aca="false">E9/1000</f>
        <v>8</v>
      </c>
      <c r="G9" s="7" t="s">
        <v>328</v>
      </c>
    </row>
    <row r="10" customFormat="false" ht="15" hidden="false" customHeight="true" outlineLevel="0" collapsed="false">
      <c r="B10" s="5" t="s">
        <v>329</v>
      </c>
      <c r="E10" s="25" t="n">
        <f aca="false">09_DHW!$F$11</f>
        <v>53411.1111111111</v>
      </c>
      <c r="F10" s="13" t="n">
        <f aca="false">E10/1000</f>
        <v>53.4111111111111</v>
      </c>
      <c r="G10" s="7" t="s">
        <v>330</v>
      </c>
    </row>
    <row r="12" customFormat="false" ht="15" hidden="false" customHeight="true" outlineLevel="0" collapsed="false">
      <c r="B12" s="5" t="s">
        <v>331</v>
      </c>
      <c r="E12" s="12" t="n">
        <f aca="false">SUM(E6:E10)</f>
        <v>247549.111111111</v>
      </c>
      <c r="F12" s="26" t="n">
        <f aca="false">E12/1000</f>
        <v>247.549111111111</v>
      </c>
    </row>
    <row r="14" customFormat="false" ht="21.75" hidden="false" customHeight="true" outlineLevel="0" collapsed="false">
      <c r="B14" s="2" t="s">
        <v>332</v>
      </c>
      <c r="C14" s="3"/>
      <c r="D14" s="3"/>
      <c r="E14" s="3"/>
      <c r="F14" s="3"/>
      <c r="G14" s="3"/>
      <c r="H14" s="3"/>
    </row>
    <row r="15" customFormat="false" ht="15" hidden="false" customHeight="true" outlineLevel="0" collapsed="false">
      <c r="B15" s="7" t="s">
        <v>333</v>
      </c>
    </row>
    <row r="16" customFormat="false" ht="15" hidden="false" customHeight="true" outlineLevel="0" collapsed="false">
      <c r="B16" s="5" t="s">
        <v>334</v>
      </c>
      <c r="C16" s="29" t="n">
        <f aca="false">i_gain_useful_h</f>
        <v>0.45</v>
      </c>
      <c r="D16" s="5" t="s">
        <v>97</v>
      </c>
      <c r="G16" s="7" t="s">
        <v>335</v>
      </c>
    </row>
    <row r="17" customFormat="false" ht="15" hidden="false" customHeight="true" outlineLevel="0" collapsed="false">
      <c r="B17" s="5" t="s">
        <v>336</v>
      </c>
      <c r="E17" s="12" t="n">
        <f aca="false">07_Internal_Gains!$E$12*i_gain_useful_h</f>
        <v>111397.1</v>
      </c>
      <c r="F17" s="26" t="n">
        <f aca="false">E17/1000</f>
        <v>111.3971</v>
      </c>
    </row>
    <row r="18" customFormat="false" ht="15" hidden="false" customHeight="true" outlineLevel="0" collapsed="false">
      <c r="B18" s="5" t="s">
        <v>337</v>
      </c>
      <c r="E18" s="12" t="n">
        <f aca="false">06_Heat_Gain!$F$34*0.35</f>
        <v>39445.7946624</v>
      </c>
      <c r="F18" s="26" t="n">
        <f aca="false">E18/1000</f>
        <v>39.4457946624</v>
      </c>
      <c r="G18" s="7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5" min="3" style="1" width="14"/>
    <col collapsed="false" customWidth="true" hidden="false" outlineLevel="0" max="6" min="6" style="1" width="40"/>
    <col collapsed="false" customWidth="true" hidden="false" outlineLevel="0" max="7" min="7" style="1" width="2"/>
  </cols>
  <sheetData>
    <row r="2" customFormat="false" ht="27.75" hidden="false" customHeight="true" outlineLevel="0" collapsed="false">
      <c r="B2" s="2" t="s">
        <v>339</v>
      </c>
      <c r="C2" s="3"/>
      <c r="D2" s="3"/>
      <c r="E2" s="3"/>
      <c r="F2" s="3"/>
      <c r="G2" s="3"/>
    </row>
    <row r="4" customFormat="false" ht="21.75" hidden="false" customHeight="true" outlineLevel="0" collapsed="false">
      <c r="B4" s="2" t="s">
        <v>340</v>
      </c>
      <c r="C4" s="3"/>
      <c r="D4" s="3"/>
      <c r="E4" s="3"/>
      <c r="F4" s="3"/>
      <c r="G4" s="3"/>
    </row>
    <row r="5" customFormat="false" ht="15" hidden="false" customHeight="true" outlineLevel="0" collapsed="false">
      <c r="B5" s="15" t="s">
        <v>341</v>
      </c>
      <c r="C5" s="16" t="s">
        <v>109</v>
      </c>
      <c r="D5" s="16" t="s">
        <v>139</v>
      </c>
      <c r="E5" s="16" t="s">
        <v>342</v>
      </c>
      <c r="F5" s="16" t="s">
        <v>155</v>
      </c>
    </row>
    <row r="6" customFormat="false" ht="15" hidden="false" customHeight="true" outlineLevel="0" collapsed="false">
      <c r="B6" s="5" t="s">
        <v>343</v>
      </c>
      <c r="C6" s="25" t="n">
        <f aca="false">05_Heat_Loss!$F$30</f>
        <v>258393.982722624</v>
      </c>
      <c r="D6" s="13" t="n">
        <f aca="false">C6/1000</f>
        <v>258.393982722624</v>
      </c>
      <c r="F6" s="7" t="s">
        <v>344</v>
      </c>
    </row>
    <row r="7" customFormat="false" ht="15" hidden="false" customHeight="true" outlineLevel="0" collapsed="false">
      <c r="B7" s="5" t="s">
        <v>345</v>
      </c>
      <c r="C7" s="30" t="n">
        <f aca="false">07_Internal_Gains!$E$17</f>
        <v>111397.1</v>
      </c>
      <c r="D7" s="13" t="n">
        <f aca="false">C7/1000</f>
        <v>111.3971</v>
      </c>
      <c r="E7" s="31" t="n">
        <f aca="false">C7/C6</f>
        <v>0.431113367371176</v>
      </c>
    </row>
    <row r="8" customFormat="false" ht="15" hidden="false" customHeight="true" outlineLevel="0" collapsed="false">
      <c r="B8" s="5" t="s">
        <v>346</v>
      </c>
      <c r="C8" s="30" t="n">
        <f aca="false">06_Heat_Gain!$D$46</f>
        <v>26496</v>
      </c>
      <c r="D8" s="13" t="n">
        <f aca="false">C8/1000</f>
        <v>26.496</v>
      </c>
      <c r="E8" s="31" t="n">
        <f aca="false">C8/C6</f>
        <v>0.102541087531603</v>
      </c>
    </row>
    <row r="9" customFormat="false" ht="15" hidden="false" customHeight="true" outlineLevel="0" collapsed="false">
      <c r="B9" s="5" t="s">
        <v>347</v>
      </c>
      <c r="C9" s="30" t="n">
        <f aca="false">10_Ventilation!$F$14</f>
        <v>66423.180384</v>
      </c>
      <c r="D9" s="13" t="n">
        <f aca="false">C9/1000</f>
        <v>66.423180384</v>
      </c>
      <c r="E9" s="31" t="n">
        <f aca="false">C9/C6</f>
        <v>0.257061637752233</v>
      </c>
      <c r="F9" s="7" t="s">
        <v>348</v>
      </c>
    </row>
    <row r="11" customFormat="false" ht="15" hidden="false" customHeight="true" outlineLevel="0" collapsed="false">
      <c r="B11" s="4" t="s">
        <v>349</v>
      </c>
      <c r="C11" s="12" t="n">
        <f aca="false">MAX(0, C6-C7-C8-C9)</f>
        <v>54077.702338624</v>
      </c>
      <c r="D11" s="26" t="n">
        <f aca="false">C11/1000</f>
        <v>54.077702338624</v>
      </c>
    </row>
    <row r="13" customFormat="false" ht="21.75" hidden="false" customHeight="true" outlineLevel="0" collapsed="false">
      <c r="B13" s="2" t="s">
        <v>350</v>
      </c>
      <c r="C13" s="3"/>
      <c r="D13" s="3"/>
      <c r="E13" s="3"/>
      <c r="F13" s="3"/>
      <c r="G13" s="3"/>
    </row>
    <row r="14" customFormat="false" ht="15" hidden="false" customHeight="true" outlineLevel="0" collapsed="false">
      <c r="B14" s="15" t="s">
        <v>341</v>
      </c>
      <c r="C14" s="16" t="s">
        <v>109</v>
      </c>
      <c r="D14" s="16" t="s">
        <v>139</v>
      </c>
      <c r="E14" s="16" t="s">
        <v>351</v>
      </c>
      <c r="F14" s="16" t="s">
        <v>155</v>
      </c>
    </row>
    <row r="15" customFormat="false" ht="15" hidden="false" customHeight="true" outlineLevel="0" collapsed="false">
      <c r="B15" s="5" t="s">
        <v>352</v>
      </c>
      <c r="C15" s="25" t="n">
        <f aca="false">06_Heat_Gain!$F$37</f>
        <v>2716.071249696</v>
      </c>
      <c r="D15" s="13" t="n">
        <f aca="false">C15/1000</f>
        <v>2.716071249696</v>
      </c>
    </row>
    <row r="16" customFormat="false" ht="15" hidden="false" customHeight="true" outlineLevel="0" collapsed="false">
      <c r="B16" s="5" t="s">
        <v>353</v>
      </c>
      <c r="C16" s="14" t="n">
        <f aca="false">06_Heat_Gain!$E$46</f>
        <v>54779</v>
      </c>
      <c r="D16" s="13" t="n">
        <f aca="false">C16/1000</f>
        <v>54.779</v>
      </c>
      <c r="F16" s="7" t="s">
        <v>354</v>
      </c>
    </row>
    <row r="17" customFormat="false" ht="15" hidden="false" customHeight="true" outlineLevel="0" collapsed="false">
      <c r="B17" s="5" t="s">
        <v>355</v>
      </c>
      <c r="C17" s="14" t="n">
        <f aca="false">07_Internal_Gains!$E$12*(1-i_gain_useful_h)</f>
        <v>136152.011111111</v>
      </c>
      <c r="D17" s="13" t="n">
        <f aca="false">C17/1000</f>
        <v>136.152011111111</v>
      </c>
    </row>
    <row r="19" customFormat="false" ht="15" hidden="false" customHeight="true" outlineLevel="0" collapsed="false">
      <c r="B19" s="4" t="s">
        <v>356</v>
      </c>
      <c r="C19" s="12" t="n">
        <f aca="false">C15+C16+C17</f>
        <v>193647.082360807</v>
      </c>
      <c r="D19" s="26" t="n">
        <f aca="false">C19/1000</f>
        <v>193.647082360807</v>
      </c>
    </row>
    <row r="21" customFormat="false" ht="21.75" hidden="false" customHeight="true" outlineLevel="0" collapsed="false">
      <c r="B21" s="2" t="s">
        <v>357</v>
      </c>
      <c r="C21" s="3"/>
      <c r="D21" s="3"/>
      <c r="E21" s="3"/>
      <c r="F21" s="3"/>
      <c r="G21" s="3"/>
    </row>
    <row r="22" customFormat="false" ht="15" hidden="false" customHeight="true" outlineLevel="0" collapsed="false">
      <c r="B22" s="5" t="s">
        <v>358</v>
      </c>
      <c r="C22" s="32" t="n">
        <f aca="false">C11</f>
        <v>54077.702338624</v>
      </c>
      <c r="D22" s="26" t="n">
        <f aca="false">C22/1000</f>
        <v>54.077702338624</v>
      </c>
    </row>
    <row r="23" customFormat="false" ht="15" hidden="false" customHeight="true" outlineLevel="0" collapsed="false">
      <c r="B23" s="5" t="s">
        <v>359</v>
      </c>
      <c r="C23" s="14" t="n">
        <f aca="false">05_Heat_Loss!$C$35*04_Weather!$C$14*24/1000</f>
        <v>127541.188841472</v>
      </c>
      <c r="D23" s="13" t="n">
        <f aca="false">C23/1000</f>
        <v>127.541188841472</v>
      </c>
      <c r="F23" s="7" t="s">
        <v>360</v>
      </c>
    </row>
    <row r="24" customFormat="false" ht="15" hidden="false" customHeight="true" outlineLevel="0" collapsed="false">
      <c r="B24" s="5" t="s">
        <v>361</v>
      </c>
      <c r="C24" s="33" t="n">
        <f aca="false">C22-C23</f>
        <v>-73463.486502848</v>
      </c>
      <c r="F24" s="7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6" min="3" style="1" width="14"/>
    <col collapsed="false" customWidth="true" hidden="false" outlineLevel="0" max="7" min="7" style="1" width="40"/>
    <col collapsed="false" customWidth="true" hidden="false" outlineLevel="0" max="8" min="8" style="1" width="2"/>
  </cols>
  <sheetData>
    <row r="2" customFormat="false" ht="27.75" hidden="false" customHeight="true" outlineLevel="0" collapsed="false">
      <c r="B2" s="2" t="s">
        <v>363</v>
      </c>
      <c r="C2" s="3"/>
      <c r="D2" s="3"/>
      <c r="E2" s="3"/>
      <c r="F2" s="3"/>
      <c r="G2" s="3"/>
      <c r="H2" s="3"/>
    </row>
    <row r="4" customFormat="false" ht="21.75" hidden="false" customHeight="true" outlineLevel="0" collapsed="false">
      <c r="B4" s="2" t="s">
        <v>364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B5" s="5" t="s">
        <v>365</v>
      </c>
      <c r="C5" s="25" t="n">
        <f aca="false">i_water_total</f>
        <v>11500</v>
      </c>
      <c r="D5" s="5" t="s">
        <v>100</v>
      </c>
    </row>
    <row r="6" customFormat="false" ht="15" hidden="false" customHeight="true" outlineLevel="0" collapsed="false">
      <c r="B6" s="5" t="s">
        <v>366</v>
      </c>
      <c r="C6" s="29" t="n">
        <f aca="false">i_hot_frac</f>
        <v>0.4</v>
      </c>
      <c r="D6" s="5" t="s">
        <v>52</v>
      </c>
    </row>
    <row r="7" customFormat="false" ht="15" hidden="false" customHeight="true" outlineLevel="0" collapsed="false">
      <c r="B7" s="5" t="s">
        <v>367</v>
      </c>
      <c r="C7" s="14" t="n">
        <f aca="false">C5*C6</f>
        <v>4600</v>
      </c>
      <c r="D7" s="5" t="s">
        <v>100</v>
      </c>
    </row>
    <row r="8" customFormat="false" ht="15" hidden="false" customHeight="true" outlineLevel="0" collapsed="false">
      <c r="B8" s="5" t="s">
        <v>368</v>
      </c>
      <c r="C8" s="14" t="n">
        <f aca="false">C7*i_rho_w</f>
        <v>4600000</v>
      </c>
      <c r="D8" s="5" t="s">
        <v>369</v>
      </c>
    </row>
    <row r="9" customFormat="false" ht="15" hidden="false" customHeight="true" outlineLevel="0" collapsed="false">
      <c r="B9" s="5" t="s">
        <v>370</v>
      </c>
      <c r="C9" s="13" t="n">
        <f aca="false">i_T_delivery-i_T_cold</f>
        <v>50</v>
      </c>
      <c r="D9" s="5" t="s">
        <v>76</v>
      </c>
    </row>
    <row r="10" customFormat="false" ht="15" hidden="false" customHeight="true" outlineLevel="0" collapsed="false">
      <c r="B10" s="5" t="s">
        <v>371</v>
      </c>
      <c r="C10" s="12" t="n">
        <f aca="false">C8*i_cp_w*C9/3600</f>
        <v>267055.555555556</v>
      </c>
      <c r="D10" s="5" t="s">
        <v>109</v>
      </c>
    </row>
    <row r="11" customFormat="false" ht="15" hidden="false" customHeight="true" outlineLevel="0" collapsed="false">
      <c r="B11" s="5" t="s">
        <v>372</v>
      </c>
      <c r="C11" s="14" t="n">
        <f aca="false">C10*i_dist_loss</f>
        <v>53411.1111111111</v>
      </c>
      <c r="D11" s="5" t="s">
        <v>109</v>
      </c>
      <c r="F11" s="34" t="n">
        <f aca="false">C11</f>
        <v>53411.1111111111</v>
      </c>
      <c r="G11" s="7" t="s">
        <v>373</v>
      </c>
    </row>
    <row r="12" customFormat="false" ht="15" hidden="false" customHeight="true" outlineLevel="0" collapsed="false">
      <c r="B12" s="5" t="s">
        <v>374</v>
      </c>
      <c r="C12" s="12" t="n">
        <f aca="false">C10+C11</f>
        <v>320466.666666667</v>
      </c>
      <c r="D12" s="5" t="s">
        <v>109</v>
      </c>
    </row>
    <row r="14" customFormat="false" ht="21.75" hidden="false" customHeight="true" outlineLevel="0" collapsed="false">
      <c r="B14" s="2" t="s">
        <v>375</v>
      </c>
      <c r="C14" s="3"/>
      <c r="D14" s="3"/>
      <c r="E14" s="3"/>
      <c r="F14" s="3"/>
      <c r="G14" s="3"/>
      <c r="H14" s="3"/>
    </row>
    <row r="15" customFormat="false" ht="15" hidden="false" customHeight="true" outlineLevel="0" collapsed="false">
      <c r="B15" s="15" t="s">
        <v>341</v>
      </c>
      <c r="C15" s="16" t="s">
        <v>351</v>
      </c>
      <c r="D15" s="16" t="s">
        <v>376</v>
      </c>
      <c r="E15" s="16" t="s">
        <v>377</v>
      </c>
      <c r="F15" s="16" t="s">
        <v>378</v>
      </c>
      <c r="G15" s="16" t="s">
        <v>155</v>
      </c>
    </row>
    <row r="16" customFormat="false" ht="15" hidden="false" customHeight="true" outlineLevel="0" collapsed="false">
      <c r="B16" s="5" t="s">
        <v>379</v>
      </c>
      <c r="C16" s="35" t="n">
        <f aca="false">i_ashp_share</f>
        <v>0.5</v>
      </c>
      <c r="D16" s="14" t="n">
        <f aca="false">C12*C16</f>
        <v>160233.333333333</v>
      </c>
      <c r="E16" s="29" t="n">
        <f aca="false">i_ashp_cop</f>
        <v>3</v>
      </c>
      <c r="F16" s="12" t="n">
        <f aca="false">D16/E16</f>
        <v>53411.1111111111</v>
      </c>
      <c r="G16" s="7" t="s">
        <v>380</v>
      </c>
    </row>
    <row r="17" customFormat="false" ht="15" hidden="false" customHeight="true" outlineLevel="0" collapsed="false">
      <c r="B17" s="5" t="s">
        <v>381</v>
      </c>
      <c r="C17" s="17" t="n">
        <f aca="false">1-i_ashp_share</f>
        <v>0.5</v>
      </c>
      <c r="D17" s="14" t="n">
        <f aca="false">C12*C17</f>
        <v>160233.333333333</v>
      </c>
      <c r="E17" s="29" t="n">
        <f aca="false">i_gas_eff</f>
        <v>0.9</v>
      </c>
      <c r="F17" s="12" t="n">
        <f aca="false">D17/E17</f>
        <v>178037.037037037</v>
      </c>
      <c r="G17" s="7" t="s">
        <v>382</v>
      </c>
    </row>
    <row r="18" customFormat="false" ht="15" hidden="false" customHeight="true" outlineLevel="0" collapsed="false">
      <c r="B18" s="5" t="s">
        <v>383</v>
      </c>
      <c r="C18" s="7" t="s">
        <v>256</v>
      </c>
      <c r="D18" s="7" t="s">
        <v>256</v>
      </c>
      <c r="E18" s="7" t="s">
        <v>256</v>
      </c>
      <c r="F18" s="32" t="n">
        <f aca="false">i_dhw_pump</f>
        <v>1500</v>
      </c>
      <c r="G18" s="7" t="s">
        <v>384</v>
      </c>
    </row>
    <row r="20" customFormat="false" ht="15" hidden="false" customHeight="true" outlineLevel="0" collapsed="false">
      <c r="B20" s="5" t="s">
        <v>385</v>
      </c>
      <c r="F20" s="12" t="n">
        <f aca="false">F16+F18</f>
        <v>54911.1111111111</v>
      </c>
    </row>
    <row r="21" customFormat="false" ht="15" hidden="false" customHeight="true" outlineLevel="0" collapsed="false">
      <c r="B21" s="5" t="s">
        <v>386</v>
      </c>
      <c r="F21" s="12" t="n">
        <f aca="false">F17</f>
        <v>178037.037037037</v>
      </c>
    </row>
    <row r="22" customFormat="false" ht="15" hidden="false" customHeight="true" outlineLevel="0" collapsed="false">
      <c r="B22" s="5" t="s">
        <v>387</v>
      </c>
      <c r="F22" s="13" t="n">
        <f aca="false">F21/1000</f>
        <v>178.037037037037</v>
      </c>
      <c r="G22" s="7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6" min="3" style="1" width="14"/>
    <col collapsed="false" customWidth="true" hidden="false" outlineLevel="0" max="7" min="7" style="1" width="40"/>
    <col collapsed="false" customWidth="true" hidden="false" outlineLevel="0" max="8" min="8" style="1" width="2"/>
  </cols>
  <sheetData>
    <row r="2" customFormat="false" ht="27.75" hidden="false" customHeight="true" outlineLevel="0" collapsed="false">
      <c r="B2" s="2" t="s">
        <v>389</v>
      </c>
      <c r="C2" s="3"/>
      <c r="D2" s="3"/>
      <c r="E2" s="3"/>
      <c r="F2" s="3"/>
      <c r="G2" s="3"/>
      <c r="H2" s="3"/>
    </row>
    <row r="4" customFormat="false" ht="21.75" hidden="false" customHeight="true" outlineLevel="0" collapsed="false">
      <c r="B4" s="2" t="s">
        <v>390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B5" s="15" t="s">
        <v>391</v>
      </c>
      <c r="C5" s="16" t="s">
        <v>392</v>
      </c>
      <c r="D5" s="16" t="s">
        <v>393</v>
      </c>
      <c r="E5" s="16" t="s">
        <v>320</v>
      </c>
      <c r="F5" s="16" t="s">
        <v>109</v>
      </c>
      <c r="G5" s="16" t="s">
        <v>155</v>
      </c>
    </row>
    <row r="6" customFormat="false" ht="15" hidden="false" customHeight="true" outlineLevel="0" collapsed="false">
      <c r="B6" s="5" t="s">
        <v>394</v>
      </c>
      <c r="C6" s="25" t="n">
        <f aca="false">i_wc_flow</f>
        <v>2292</v>
      </c>
      <c r="D6" s="29" t="n">
        <f aca="false">i_wc_sfp</f>
        <v>0.4</v>
      </c>
      <c r="E6" s="25" t="n">
        <f aca="false">i_wc_h</f>
        <v>8760</v>
      </c>
      <c r="F6" s="12" t="n">
        <f aca="false">C6*D6*E6/1000</f>
        <v>8031.168</v>
      </c>
    </row>
    <row r="7" customFormat="false" ht="15" hidden="false" customHeight="true" outlineLevel="0" collapsed="false">
      <c r="B7" s="5" t="s">
        <v>395</v>
      </c>
      <c r="C7" s="25" t="n">
        <f aca="false">i_mvhr_flow</f>
        <v>1450</v>
      </c>
      <c r="D7" s="29" t="n">
        <f aca="false">i_mvhr_sfp</f>
        <v>1.4</v>
      </c>
      <c r="E7" s="25" t="n">
        <f aca="false">i_mvhr_h</f>
        <v>8760</v>
      </c>
      <c r="F7" s="12" t="n">
        <f aca="false">C7*D7*E7/1000</f>
        <v>17782.8</v>
      </c>
    </row>
    <row r="8" customFormat="false" ht="15" hidden="false" customHeight="true" outlineLevel="0" collapsed="false">
      <c r="B8" s="5" t="s">
        <v>396</v>
      </c>
      <c r="F8" s="12" t="n">
        <f aca="false">F6+F7</f>
        <v>25813.968</v>
      </c>
    </row>
    <row r="10" customFormat="false" ht="21.75" hidden="false" customHeight="true" outlineLevel="0" collapsed="false">
      <c r="B10" s="2" t="s">
        <v>397</v>
      </c>
      <c r="C10" s="3"/>
      <c r="D10" s="3"/>
      <c r="E10" s="3"/>
      <c r="F10" s="3"/>
      <c r="G10" s="3"/>
      <c r="H10" s="3"/>
    </row>
    <row r="11" customFormat="false" ht="15" hidden="false" customHeight="true" outlineLevel="0" collapsed="false">
      <c r="B11" s="15" t="s">
        <v>341</v>
      </c>
      <c r="C11" s="16" t="s">
        <v>398</v>
      </c>
      <c r="D11" s="16" t="s">
        <v>399</v>
      </c>
      <c r="E11" s="16" t="s">
        <v>109</v>
      </c>
      <c r="F11" s="16" t="s">
        <v>139</v>
      </c>
      <c r="G11" s="16" t="s">
        <v>155</v>
      </c>
    </row>
    <row r="12" customFormat="false" ht="15" hidden="false" customHeight="true" outlineLevel="0" collapsed="false">
      <c r="B12" s="5" t="s">
        <v>400</v>
      </c>
      <c r="C12" s="23" t="n">
        <f aca="false">i_mvhr_flow*i_rho_air/1000</f>
        <v>1.74</v>
      </c>
      <c r="D12" s="5" t="s">
        <v>401</v>
      </c>
    </row>
    <row r="13" customFormat="false" ht="15" hidden="false" customHeight="true" outlineLevel="0" collapsed="false">
      <c r="B13" s="5" t="s">
        <v>402</v>
      </c>
      <c r="E13" s="14" t="n">
        <f aca="false">i_mvhr_hre*(i_mvhr_flow*i_rho_air/1000)*i_cp_air*04_Weather!$C$16/1000</f>
        <v>120769.41888</v>
      </c>
      <c r="F13" s="13" t="n">
        <f aca="false">E13/1000</f>
        <v>120.76941888</v>
      </c>
      <c r="G13" s="7" t="s">
        <v>403</v>
      </c>
    </row>
    <row r="14" customFormat="false" ht="15" hidden="false" customHeight="true" outlineLevel="0" collapsed="false">
      <c r="B14" s="5" t="s">
        <v>404</v>
      </c>
      <c r="E14" s="12" t="n">
        <f aca="false">E13*i_mvhr_useful_frac</f>
        <v>66423.180384</v>
      </c>
      <c r="F14" s="12" t="n">
        <f aca="false">E14</f>
        <v>66423.180384</v>
      </c>
      <c r="G14" s="7" t="s">
        <v>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6" min="3" style="1" width="14"/>
    <col collapsed="false" customWidth="true" hidden="false" outlineLevel="0" max="7" min="7" style="1" width="40"/>
    <col collapsed="false" customWidth="true" hidden="false" outlineLevel="0" max="8" min="8" style="1" width="2"/>
  </cols>
  <sheetData>
    <row r="2" customFormat="false" ht="27.75" hidden="false" customHeight="true" outlineLevel="0" collapsed="false">
      <c r="B2" s="2" t="s">
        <v>406</v>
      </c>
      <c r="C2" s="3"/>
      <c r="D2" s="3"/>
      <c r="E2" s="3"/>
      <c r="F2" s="3"/>
      <c r="G2" s="3"/>
      <c r="H2" s="3"/>
    </row>
    <row r="4" customFormat="false" ht="21.75" hidden="false" customHeight="true" outlineLevel="0" collapsed="false">
      <c r="B4" s="2" t="s">
        <v>407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B5" s="15" t="s">
        <v>391</v>
      </c>
      <c r="C5" s="16" t="s">
        <v>351</v>
      </c>
      <c r="D5" s="16" t="s">
        <v>376</v>
      </c>
      <c r="E5" s="16" t="s">
        <v>377</v>
      </c>
      <c r="F5" s="16" t="s">
        <v>378</v>
      </c>
      <c r="G5" s="16" t="s">
        <v>155</v>
      </c>
    </row>
    <row r="6" customFormat="false" ht="15" hidden="false" customHeight="true" outlineLevel="0" collapsed="false">
      <c r="B6" s="5" t="s">
        <v>408</v>
      </c>
      <c r="C6" s="35" t="n">
        <f aca="false">i_vrf_h_share</f>
        <v>0.95</v>
      </c>
      <c r="D6" s="25" t="n">
        <f aca="false">08_Heat_Balance!$C$11*C6</f>
        <v>51373.8172216928</v>
      </c>
      <c r="E6" s="29" t="n">
        <f aca="false">i_vrf_h_scop</f>
        <v>5.12</v>
      </c>
      <c r="F6" s="12" t="n">
        <f aca="false">D6/E6</f>
        <v>10033.9486761119</v>
      </c>
    </row>
    <row r="7" customFormat="false" ht="15" hidden="false" customHeight="true" outlineLevel="0" collapsed="false">
      <c r="B7" s="5" t="s">
        <v>409</v>
      </c>
      <c r="C7" s="35" t="n">
        <f aca="false">i_panel_share</f>
        <v>0.05</v>
      </c>
      <c r="D7" s="36" t="n">
        <f aca="false">08_Heat_Balance!$C$11*C7</f>
        <v>2703.8851169312</v>
      </c>
      <c r="E7" s="29" t="n">
        <f aca="false">i_panel_cop</f>
        <v>1</v>
      </c>
      <c r="F7" s="12" t="n">
        <f aca="false">D7/E7</f>
        <v>2703.8851169312</v>
      </c>
    </row>
    <row r="8" customFormat="false" ht="15" hidden="false" customHeight="true" outlineLevel="0" collapsed="false">
      <c r="B8" s="5" t="s">
        <v>410</v>
      </c>
      <c r="F8" s="12" t="n">
        <f aca="false">F6+F7</f>
        <v>12737.8337930431</v>
      </c>
    </row>
    <row r="10" customFormat="false" ht="21.75" hidden="false" customHeight="true" outlineLevel="0" collapsed="false">
      <c r="B10" s="2" t="s">
        <v>411</v>
      </c>
      <c r="C10" s="3"/>
      <c r="D10" s="3"/>
      <c r="E10" s="3"/>
      <c r="F10" s="3"/>
      <c r="G10" s="3"/>
      <c r="H10" s="3"/>
    </row>
    <row r="11" customFormat="false" ht="15" hidden="false" customHeight="true" outlineLevel="0" collapsed="false">
      <c r="B11" s="15" t="s">
        <v>391</v>
      </c>
      <c r="C11" s="16" t="s">
        <v>351</v>
      </c>
      <c r="D11" s="16" t="s">
        <v>376</v>
      </c>
      <c r="E11" s="16" t="s">
        <v>377</v>
      </c>
      <c r="F11" s="16" t="s">
        <v>378</v>
      </c>
      <c r="G11" s="16" t="s">
        <v>155</v>
      </c>
    </row>
    <row r="12" customFormat="false" ht="15" hidden="false" customHeight="true" outlineLevel="0" collapsed="false">
      <c r="B12" s="5" t="s">
        <v>412</v>
      </c>
      <c r="C12" s="35" t="n">
        <f aca="false">i_vrf_c_share</f>
        <v>0.95</v>
      </c>
      <c r="D12" s="36" t="n">
        <f aca="false">08_Heat_Balance!$C$19*C12</f>
        <v>183964.728242767</v>
      </c>
      <c r="E12" s="29" t="n">
        <f aca="false">i_vrf_c_seer</f>
        <v>3.51</v>
      </c>
      <c r="F12" s="12" t="n">
        <f aca="false">D12/E12</f>
        <v>52411.6034879677</v>
      </c>
    </row>
    <row r="13" customFormat="false" ht="15" hidden="false" customHeight="true" outlineLevel="0" collapsed="false">
      <c r="B13" s="5" t="s">
        <v>413</v>
      </c>
      <c r="C13" s="35" t="n">
        <f aca="false">i_dx_share</f>
        <v>0.05</v>
      </c>
      <c r="D13" s="36" t="n">
        <f aca="false">08_Heat_Balance!$C$19*C13</f>
        <v>9682.35411804036</v>
      </c>
      <c r="E13" s="29" t="n">
        <f aca="false">i_dx_seer</f>
        <v>5.62</v>
      </c>
      <c r="F13" s="12" t="n">
        <f aca="false">D13/E13</f>
        <v>1722.83881103921</v>
      </c>
    </row>
    <row r="14" customFormat="false" ht="15" hidden="false" customHeight="true" outlineLevel="0" collapsed="false">
      <c r="B14" s="5" t="s">
        <v>414</v>
      </c>
      <c r="F14" s="12" t="n">
        <f aca="false">F12+F13</f>
        <v>54134.442299007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4" min="3" style="1" width="14"/>
    <col collapsed="false" customWidth="true" hidden="false" outlineLevel="0" max="5" min="5" style="1" width="40"/>
    <col collapsed="false" customWidth="true" hidden="false" outlineLevel="0" max="6" min="6" style="1" width="2"/>
  </cols>
  <sheetData>
    <row r="2" customFormat="false" ht="27.75" hidden="false" customHeight="true" outlineLevel="0" collapsed="false">
      <c r="B2" s="2" t="s">
        <v>415</v>
      </c>
      <c r="C2" s="3"/>
      <c r="D2" s="3"/>
      <c r="E2" s="3"/>
    </row>
    <row r="4" customFormat="false" ht="21.75" hidden="false" customHeight="true" outlineLevel="0" collapsed="false">
      <c r="B4" s="2" t="s">
        <v>416</v>
      </c>
      <c r="C4" s="3"/>
      <c r="D4" s="3"/>
      <c r="E4" s="3"/>
    </row>
    <row r="5" customFormat="false" ht="15" hidden="false" customHeight="true" outlineLevel="0" collapsed="false">
      <c r="B5" s="15" t="s">
        <v>417</v>
      </c>
      <c r="C5" s="16" t="s">
        <v>109</v>
      </c>
      <c r="D5" s="16" t="s">
        <v>139</v>
      </c>
      <c r="E5" s="16" t="s">
        <v>155</v>
      </c>
    </row>
    <row r="6" customFormat="false" ht="15" hidden="false" customHeight="true" outlineLevel="0" collapsed="false">
      <c r="B6" s="5" t="s">
        <v>418</v>
      </c>
      <c r="C6" s="25" t="n">
        <f aca="false">i_light_LPD*(i_length*i_width*i_floors)*i_light_h/1000</f>
        <v>151435.872</v>
      </c>
      <c r="D6" s="13" t="n">
        <f aca="false">C6/1000</f>
        <v>151.435872</v>
      </c>
      <c r="E6" s="7" t="s">
        <v>419</v>
      </c>
    </row>
    <row r="7" customFormat="false" ht="15" hidden="false" customHeight="true" outlineLevel="0" collapsed="false">
      <c r="B7" s="5" t="s">
        <v>325</v>
      </c>
      <c r="C7" s="25" t="n">
        <f aca="false">i_equip_LPD*(i_length*i_width*i_floors)*i_equip_h/1000</f>
        <v>388962</v>
      </c>
      <c r="D7" s="13" t="n">
        <f aca="false">C7/1000</f>
        <v>388.962</v>
      </c>
      <c r="E7" s="7" t="s">
        <v>419</v>
      </c>
    </row>
    <row r="8" customFormat="false" ht="15" hidden="false" customHeight="true" outlineLevel="0" collapsed="false">
      <c r="B8" s="5" t="s">
        <v>420</v>
      </c>
      <c r="C8" s="25" t="n">
        <f aca="false">i_refrig</f>
        <v>8000</v>
      </c>
      <c r="D8" s="13" t="n">
        <f aca="false">C8/1000</f>
        <v>8</v>
      </c>
      <c r="E8" s="7" t="s">
        <v>129</v>
      </c>
    </row>
    <row r="9" customFormat="false" ht="15" hidden="false" customHeight="true" outlineLevel="0" collapsed="false">
      <c r="B9" s="5" t="s">
        <v>421</v>
      </c>
      <c r="C9" s="25" t="n">
        <f aca="false">i_ext_light</f>
        <v>6000</v>
      </c>
      <c r="D9" s="13" t="n">
        <f aca="false">C9/1000</f>
        <v>6</v>
      </c>
      <c r="E9" s="7" t="s">
        <v>130</v>
      </c>
    </row>
    <row r="10" customFormat="false" ht="15" hidden="false" customHeight="true" outlineLevel="0" collapsed="false">
      <c r="B10" s="5" t="s">
        <v>422</v>
      </c>
      <c r="C10" s="25" t="n">
        <f aca="false">i_lifts</f>
        <v>8000</v>
      </c>
      <c r="D10" s="13" t="n">
        <f aca="false">C10/1000</f>
        <v>8</v>
      </c>
      <c r="E10" s="7" t="s">
        <v>423</v>
      </c>
    </row>
    <row r="11" customFormat="false" ht="15" hidden="false" customHeight="true" outlineLevel="0" collapsed="false">
      <c r="B11" s="5" t="s">
        <v>424</v>
      </c>
      <c r="C11" s="25" t="n">
        <f aca="false">i_pumps</f>
        <v>4000</v>
      </c>
      <c r="D11" s="13" t="n">
        <f aca="false">C11/1000</f>
        <v>4</v>
      </c>
      <c r="E11" s="7" t="s">
        <v>132</v>
      </c>
    </row>
    <row r="12" customFormat="false" ht="15" hidden="false" customHeight="true" outlineLevel="0" collapsed="false">
      <c r="B12" s="5" t="s">
        <v>425</v>
      </c>
      <c r="C12" s="25" t="n">
        <f aca="false">i_other_elec</f>
        <v>5000</v>
      </c>
      <c r="D12" s="13" t="n">
        <f aca="false">C12/1000</f>
        <v>5</v>
      </c>
      <c r="E12" s="7" t="s">
        <v>426</v>
      </c>
    </row>
    <row r="14" customFormat="false" ht="15" hidden="false" customHeight="true" outlineLevel="0" collapsed="false">
      <c r="B14" s="5" t="s">
        <v>427</v>
      </c>
      <c r="C14" s="12" t="n">
        <f aca="false">C6+C7+C8+C9+C10+C11+C12</f>
        <v>571397.872</v>
      </c>
      <c r="D14" s="26" t="n">
        <f aca="false">C14/1000</f>
        <v>571.397872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5" min="3" style="1" width="14"/>
    <col collapsed="false" customWidth="true" hidden="false" outlineLevel="0" max="6" min="6" style="1" width="40"/>
    <col collapsed="false" customWidth="true" hidden="false" outlineLevel="0" max="7" min="7" style="1" width="2"/>
  </cols>
  <sheetData>
    <row r="2" customFormat="false" ht="27.75" hidden="false" customHeight="true" outlineLevel="0" collapsed="false">
      <c r="B2" s="2" t="s">
        <v>428</v>
      </c>
      <c r="C2" s="3"/>
      <c r="D2" s="3"/>
      <c r="E2" s="3"/>
      <c r="F2" s="3"/>
      <c r="G2" s="3"/>
    </row>
    <row r="4" customFormat="false" ht="21.75" hidden="false" customHeight="true" outlineLevel="0" collapsed="false">
      <c r="B4" s="2" t="s">
        <v>429</v>
      </c>
      <c r="C4" s="3"/>
      <c r="D4" s="3"/>
      <c r="E4" s="3"/>
      <c r="F4" s="3"/>
      <c r="G4" s="3"/>
    </row>
    <row r="5" customFormat="false" ht="15" hidden="false" customHeight="true" outlineLevel="0" collapsed="false">
      <c r="B5" s="15" t="s">
        <v>430</v>
      </c>
      <c r="C5" s="16" t="s">
        <v>109</v>
      </c>
      <c r="D5" s="16" t="s">
        <v>139</v>
      </c>
      <c r="E5" s="16" t="s">
        <v>431</v>
      </c>
      <c r="F5" s="16" t="s">
        <v>155</v>
      </c>
    </row>
    <row r="6" customFormat="false" ht="15" hidden="false" customHeight="true" outlineLevel="0" collapsed="false">
      <c r="B6" s="5" t="s">
        <v>432</v>
      </c>
      <c r="C6" s="25" t="n">
        <f aca="false">11_Systems!$F$8</f>
        <v>12737.8337930431</v>
      </c>
      <c r="D6" s="13" t="n">
        <f aca="false">C6/1000</f>
        <v>12.7378337930431</v>
      </c>
      <c r="E6" s="17" t="n">
        <f aca="false">C6/C18</f>
        <v>0.0177161590384853</v>
      </c>
    </row>
    <row r="7" customFormat="false" ht="15" hidden="false" customHeight="true" outlineLevel="0" collapsed="false">
      <c r="B7" s="5" t="s">
        <v>433</v>
      </c>
      <c r="C7" s="25" t="n">
        <f aca="false">11_Systems!$F$14</f>
        <v>54134.442299007</v>
      </c>
      <c r="D7" s="13" t="n">
        <f aca="false">C7/1000</f>
        <v>54.134442299007</v>
      </c>
      <c r="E7" s="17" t="n">
        <f aca="false">C7/C18</f>
        <v>0.0752917964554313</v>
      </c>
    </row>
    <row r="8" customFormat="false" ht="15" hidden="false" customHeight="true" outlineLevel="0" collapsed="false">
      <c r="B8" s="5" t="s">
        <v>434</v>
      </c>
      <c r="C8" s="25" t="n">
        <f aca="false">09_DHW!$F$20</f>
        <v>54911.1111111111</v>
      </c>
      <c r="D8" s="13" t="n">
        <f aca="false">C8/1000</f>
        <v>54.9111111111111</v>
      </c>
      <c r="E8" s="17" t="n">
        <f aca="false">C8/C18</f>
        <v>0.0763720105969428</v>
      </c>
    </row>
    <row r="9" customFormat="false" ht="15" hidden="false" customHeight="true" outlineLevel="0" collapsed="false">
      <c r="B9" s="5" t="s">
        <v>435</v>
      </c>
      <c r="C9" s="25" t="n">
        <f aca="false">10_Ventilation!$F$8</f>
        <v>25813.968</v>
      </c>
      <c r="D9" s="13" t="n">
        <f aca="false">C9/1000</f>
        <v>25.813968</v>
      </c>
      <c r="E9" s="17" t="n">
        <f aca="false">C9/C18</f>
        <v>0.0359028363796161</v>
      </c>
    </row>
    <row r="10" customFormat="false" ht="15" hidden="false" customHeight="true" outlineLevel="0" collapsed="false">
      <c r="B10" s="5" t="s">
        <v>418</v>
      </c>
      <c r="C10" s="25" t="n">
        <f aca="false">12_Other_Loads!$C$6</f>
        <v>151435.872</v>
      </c>
      <c r="D10" s="13" t="n">
        <f aca="false">C10/1000</f>
        <v>151.435872</v>
      </c>
      <c r="E10" s="17" t="n">
        <f aca="false">C10/C18</f>
        <v>0.210621526083107</v>
      </c>
    </row>
    <row r="11" customFormat="false" ht="15" hidden="false" customHeight="true" outlineLevel="0" collapsed="false">
      <c r="B11" s="5" t="s">
        <v>325</v>
      </c>
      <c r="C11" s="25" t="n">
        <f aca="false">12_Other_Loads!$C$7</f>
        <v>388962</v>
      </c>
      <c r="D11" s="13" t="n">
        <f aca="false">C11/1000</f>
        <v>388.962</v>
      </c>
      <c r="E11" s="17" t="n">
        <f aca="false">C11/C18</f>
        <v>0.540979947131268</v>
      </c>
    </row>
    <row r="12" customFormat="false" ht="15" hidden="false" customHeight="true" outlineLevel="0" collapsed="false">
      <c r="B12" s="5" t="s">
        <v>420</v>
      </c>
      <c r="C12" s="25" t="n">
        <f aca="false">i_refrig</f>
        <v>8000</v>
      </c>
      <c r="D12" s="13" t="n">
        <f aca="false">C12/1000</f>
        <v>8</v>
      </c>
      <c r="E12" s="17" t="n">
        <f aca="false">C12/C18</f>
        <v>0.0111266385329419</v>
      </c>
    </row>
    <row r="13" customFormat="false" ht="15" hidden="false" customHeight="true" outlineLevel="0" collapsed="false">
      <c r="B13" s="5" t="s">
        <v>421</v>
      </c>
      <c r="C13" s="25" t="n">
        <f aca="false">i_ext_light</f>
        <v>6000</v>
      </c>
      <c r="D13" s="13" t="n">
        <f aca="false">C13/1000</f>
        <v>6</v>
      </c>
      <c r="E13" s="17" t="n">
        <f aca="false">C13/C18</f>
        <v>0.00834497889970642</v>
      </c>
    </row>
    <row r="14" customFormat="false" ht="15" hidden="false" customHeight="true" outlineLevel="0" collapsed="false">
      <c r="B14" s="5" t="s">
        <v>422</v>
      </c>
      <c r="C14" s="25" t="n">
        <f aca="false">i_lifts</f>
        <v>8000</v>
      </c>
      <c r="D14" s="13" t="n">
        <f aca="false">C14/1000</f>
        <v>8</v>
      </c>
      <c r="E14" s="17" t="n">
        <f aca="false">C14/C18</f>
        <v>0.0111266385329419</v>
      </c>
    </row>
    <row r="15" customFormat="false" ht="15" hidden="false" customHeight="true" outlineLevel="0" collapsed="false">
      <c r="B15" s="5" t="s">
        <v>436</v>
      </c>
      <c r="C15" s="25" t="n">
        <f aca="false">i_pumps</f>
        <v>4000</v>
      </c>
      <c r="D15" s="13" t="n">
        <f aca="false">C15/1000</f>
        <v>4</v>
      </c>
      <c r="E15" s="17" t="n">
        <f aca="false">C15/C18</f>
        <v>0.00556331926647095</v>
      </c>
    </row>
    <row r="16" customFormat="false" ht="15" hidden="false" customHeight="true" outlineLevel="0" collapsed="false">
      <c r="B16" s="5" t="s">
        <v>437</v>
      </c>
      <c r="C16" s="25" t="n">
        <f aca="false">i_other_elec</f>
        <v>5000</v>
      </c>
      <c r="D16" s="13" t="n">
        <f aca="false">C16/1000</f>
        <v>5</v>
      </c>
      <c r="E16" s="17" t="n">
        <f aca="false">C16/C18</f>
        <v>0.00695414908308868</v>
      </c>
    </row>
    <row r="18" customFormat="false" ht="15" hidden="false" customHeight="true" outlineLevel="0" collapsed="false">
      <c r="B18" s="4" t="s">
        <v>438</v>
      </c>
      <c r="C18" s="12" t="n">
        <f aca="false">C6+C7+C8+C9+C10+C11+C12+C13+C14+C15+C16</f>
        <v>718995.227203161</v>
      </c>
      <c r="D18" s="26" t="n">
        <f aca="false">C18/1000</f>
        <v>718.995227203161</v>
      </c>
    </row>
    <row r="20" customFormat="false" ht="21.75" hidden="false" customHeight="true" outlineLevel="0" collapsed="false">
      <c r="B20" s="2" t="s">
        <v>439</v>
      </c>
      <c r="C20" s="3"/>
      <c r="D20" s="3"/>
      <c r="E20" s="3"/>
      <c r="F20" s="3"/>
      <c r="G20" s="3"/>
    </row>
    <row r="21" customFormat="false" ht="15" hidden="false" customHeight="true" outlineLevel="0" collapsed="false">
      <c r="B21" s="15" t="s">
        <v>430</v>
      </c>
      <c r="C21" s="16" t="s">
        <v>109</v>
      </c>
      <c r="D21" s="16" t="s">
        <v>139</v>
      </c>
      <c r="E21" s="16" t="s">
        <v>440</v>
      </c>
      <c r="F21" s="16" t="s">
        <v>155</v>
      </c>
    </row>
    <row r="22" customFormat="false" ht="15" hidden="false" customHeight="true" outlineLevel="0" collapsed="false">
      <c r="B22" s="5" t="s">
        <v>441</v>
      </c>
      <c r="C22" s="25" t="n">
        <f aca="false">09_DHW!$F$21</f>
        <v>178037.037037037</v>
      </c>
      <c r="D22" s="13" t="n">
        <f aca="false">C22/1000</f>
        <v>178.037037037037</v>
      </c>
      <c r="E22" s="17" t="n">
        <f aca="false">C22/C22</f>
        <v>1</v>
      </c>
    </row>
    <row r="24" customFormat="false" ht="15" hidden="false" customHeight="true" outlineLevel="0" collapsed="false">
      <c r="B24" s="4" t="s">
        <v>442</v>
      </c>
      <c r="C24" s="12" t="n">
        <f aca="false">C22</f>
        <v>178037.037037037</v>
      </c>
      <c r="D24" s="26" t="n">
        <f aca="false">C24/1000</f>
        <v>178.037037037037</v>
      </c>
    </row>
    <row r="26" customFormat="false" ht="21.75" hidden="false" customHeight="true" outlineLevel="0" collapsed="false">
      <c r="B26" s="2" t="s">
        <v>443</v>
      </c>
      <c r="C26" s="3"/>
      <c r="D26" s="3"/>
      <c r="E26" s="3"/>
      <c r="F26" s="3"/>
      <c r="G26" s="3"/>
    </row>
    <row r="27" customFormat="false" ht="15" hidden="false" customHeight="true" outlineLevel="0" collapsed="false">
      <c r="B27" s="15" t="s">
        <v>444</v>
      </c>
      <c r="C27" s="16" t="s">
        <v>398</v>
      </c>
      <c r="D27" s="16" t="s">
        <v>399</v>
      </c>
      <c r="E27" s="16"/>
      <c r="F27" s="16" t="s">
        <v>155</v>
      </c>
    </row>
    <row r="28" customFormat="false" ht="15" hidden="false" customHeight="true" outlineLevel="0" collapsed="false">
      <c r="B28" s="5" t="s">
        <v>445</v>
      </c>
      <c r="C28" s="26" t="n">
        <f aca="false">13_Energy_Use!$C$18/1000</f>
        <v>718.995227203161</v>
      </c>
      <c r="D28" s="5" t="s">
        <v>139</v>
      </c>
    </row>
    <row r="29" customFormat="false" ht="15" hidden="false" customHeight="true" outlineLevel="0" collapsed="false">
      <c r="B29" s="5" t="s">
        <v>446</v>
      </c>
      <c r="C29" s="26" t="n">
        <f aca="false">13_Energy_Use!$C$24/1000</f>
        <v>178.037037037037</v>
      </c>
      <c r="D29" s="5" t="s">
        <v>139</v>
      </c>
    </row>
    <row r="30" customFormat="false" ht="15" hidden="false" customHeight="true" outlineLevel="0" collapsed="false">
      <c r="B30" s="5" t="s">
        <v>447</v>
      </c>
      <c r="C30" s="26" t="n">
        <f aca="false">(13_Energy_Use!$C$18+13_Energy_Use!$C$24)/1000</f>
        <v>897.032264240198</v>
      </c>
      <c r="D30" s="5" t="s">
        <v>139</v>
      </c>
    </row>
    <row r="31" customFormat="false" ht="15" hidden="false" customHeight="true" outlineLevel="0" collapsed="false">
      <c r="B31" s="5" t="s">
        <v>448</v>
      </c>
      <c r="C31" s="37" t="n">
        <f aca="false">(13_Energy_Use!$C$18+13_Energy_Use!$C$24)/(i_length*i_width*i_floors)</f>
        <v>207.5598741821</v>
      </c>
      <c r="D31" s="5" t="s">
        <v>212</v>
      </c>
    </row>
    <row r="32" customFormat="false" ht="15" hidden="false" customHeight="true" outlineLevel="0" collapsed="false">
      <c r="B32" s="5" t="s">
        <v>449</v>
      </c>
      <c r="C32" s="13" t="n">
        <f aca="false">13_Energy_Use!$C$18*i_cf_elec/1000</f>
        <v>148.832012031054</v>
      </c>
      <c r="D32" s="5" t="s">
        <v>450</v>
      </c>
    </row>
    <row r="33" customFormat="false" ht="15" hidden="false" customHeight="true" outlineLevel="0" collapsed="false">
      <c r="B33" s="5" t="s">
        <v>451</v>
      </c>
      <c r="C33" s="13" t="n">
        <f aca="false">13_Energy_Use!$C$24*i_cf_gas/1000</f>
        <v>32.5807777777778</v>
      </c>
      <c r="D33" s="5" t="s">
        <v>450</v>
      </c>
    </row>
    <row r="34" customFormat="false" ht="15" hidden="false" customHeight="true" outlineLevel="0" collapsed="false">
      <c r="B34" s="5" t="s">
        <v>452</v>
      </c>
      <c r="C34" s="26" t="n">
        <f aca="false">(13_Energy_Use!$C$18*i_cf_elec+13_Energy_Use!$C$24*i_cf_gas)/1000</f>
        <v>181.412789808832</v>
      </c>
      <c r="D34" s="5" t="s">
        <v>450</v>
      </c>
    </row>
    <row r="35" customFormat="false" ht="15" hidden="false" customHeight="true" outlineLevel="0" collapsed="false">
      <c r="B35" s="5" t="s">
        <v>453</v>
      </c>
      <c r="C35" s="26" t="n">
        <f aca="false">(13_Energy_Use!$C$18*i_cf_elec+13_Energy_Use!$C$24*i_cf_gas)/(i_length*i_width*i_floors)</f>
        <v>41.9762112566135</v>
      </c>
      <c r="D35" s="5" t="s">
        <v>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6" min="3" style="1" width="14"/>
    <col collapsed="false" customWidth="true" hidden="false" outlineLevel="0" max="7" min="7" style="1" width="40"/>
    <col collapsed="false" customWidth="true" hidden="false" outlineLevel="0" max="8" min="8" style="1" width="2"/>
  </cols>
  <sheetData>
    <row r="2" customFormat="false" ht="27.75" hidden="false" customHeight="true" outlineLevel="0" collapsed="false">
      <c r="B2" s="2" t="s">
        <v>455</v>
      </c>
      <c r="C2" s="3"/>
      <c r="D2" s="3"/>
      <c r="E2" s="3"/>
      <c r="F2" s="3"/>
      <c r="G2" s="3"/>
      <c r="H2" s="3"/>
    </row>
    <row r="4" customFormat="false" ht="21.75" hidden="false" customHeight="true" outlineLevel="0" collapsed="false">
      <c r="B4" s="2" t="s">
        <v>456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B5" s="15" t="s">
        <v>444</v>
      </c>
      <c r="C5" s="16" t="s">
        <v>457</v>
      </c>
      <c r="D5" s="16" t="s">
        <v>458</v>
      </c>
      <c r="E5" s="16" t="s">
        <v>459</v>
      </c>
      <c r="F5" s="16" t="s">
        <v>460</v>
      </c>
      <c r="G5" s="16" t="s">
        <v>461</v>
      </c>
    </row>
    <row r="6" customFormat="false" ht="15" hidden="false" customHeight="true" outlineLevel="0" collapsed="false">
      <c r="B6" s="5" t="s">
        <v>462</v>
      </c>
      <c r="C6" s="38" t="n">
        <f aca="false">13_Energy_Use!$C$18/1000</f>
        <v>718.995227203161</v>
      </c>
      <c r="D6" s="39" t="n">
        <f aca="false">i_m_elec</f>
        <v>560</v>
      </c>
      <c r="E6" s="40" t="n">
        <f aca="false">C6-D6</f>
        <v>158.995227203161</v>
      </c>
      <c r="F6" s="41" t="n">
        <f aca="false">(C6-D6)/D6</f>
        <v>0.283920048577073</v>
      </c>
      <c r="G6" s="42" t="str">
        <f aca="false">IF(ABS(F6)&lt;=0.15,"PASS","FAIL")</f>
        <v>FAIL</v>
      </c>
    </row>
    <row r="7" customFormat="false" ht="15" hidden="false" customHeight="true" outlineLevel="0" collapsed="false">
      <c r="B7" s="5" t="s">
        <v>463</v>
      </c>
      <c r="C7" s="38" t="n">
        <f aca="false">13_Energy_Use!$C$24/1000</f>
        <v>178.037037037037</v>
      </c>
      <c r="D7" s="39" t="n">
        <f aca="false">i_m_gas</f>
        <v>200</v>
      </c>
      <c r="E7" s="40" t="n">
        <f aca="false">C7-D7</f>
        <v>-21.962962962963</v>
      </c>
      <c r="F7" s="41" t="n">
        <f aca="false">(C7-D7)/D7</f>
        <v>-0.109814814814815</v>
      </c>
      <c r="G7" s="42" t="str">
        <f aca="false">IF(ABS(F7)&lt;=0.15,"PASS","FAIL")</f>
        <v>PASS</v>
      </c>
    </row>
    <row r="8" customFormat="false" ht="15" hidden="false" customHeight="true" outlineLevel="0" collapsed="false">
      <c r="B8" s="5" t="s">
        <v>464</v>
      </c>
      <c r="C8" s="37" t="n">
        <f aca="false">(13_Energy_Use!$C$18+13_Energy_Use!$C$24)/(i_length*i_width*i_floors)</f>
        <v>207.5598741821</v>
      </c>
      <c r="D8" s="19" t="n">
        <f aca="false">(i_m_elec+i_m_gas)*1000/(i_length*i_width*i_floors)</f>
        <v>175.852653986765</v>
      </c>
      <c r="E8" s="43" t="n">
        <f aca="false">C8-D8</f>
        <v>31.7072201953348</v>
      </c>
      <c r="F8" s="41" t="n">
        <f aca="false">(C8-D8)/D8</f>
        <v>0.180305610842366</v>
      </c>
      <c r="G8" s="42" t="str">
        <f aca="false">IF(ABS(F8)&lt;=0.15,"PASS","FAIL")</f>
        <v>FAIL</v>
      </c>
    </row>
    <row r="10" customFormat="false" ht="21.75" hidden="false" customHeight="true" outlineLevel="0" collapsed="false">
      <c r="B10" s="2" t="s">
        <v>465</v>
      </c>
      <c r="C10" s="3"/>
      <c r="D10" s="3"/>
      <c r="E10" s="3"/>
      <c r="F10" s="3"/>
      <c r="G10" s="3"/>
      <c r="H10" s="3"/>
    </row>
    <row r="11" customFormat="false" ht="15" hidden="false" customHeight="true" outlineLevel="0" collapsed="false">
      <c r="B11" s="15" t="s">
        <v>341</v>
      </c>
      <c r="C11" s="16" t="s">
        <v>466</v>
      </c>
      <c r="D11" s="16" t="s">
        <v>155</v>
      </c>
    </row>
    <row r="12" customFormat="false" ht="15" hidden="false" customHeight="true" outlineLevel="0" collapsed="false">
      <c r="B12" s="5" t="s">
        <v>467</v>
      </c>
      <c r="C12" s="39" t="n">
        <f aca="false">05_Heat_Loss!$F$30/1000</f>
        <v>258.393982722624</v>
      </c>
      <c r="G12" s="7" t="s">
        <v>468</v>
      </c>
    </row>
    <row r="13" customFormat="false" ht="15" hidden="false" customHeight="true" outlineLevel="0" collapsed="false">
      <c r="B13" s="5" t="s">
        <v>469</v>
      </c>
      <c r="C13" s="39" t="n">
        <f aca="false">08_Heat_Balance!$C$11/1000</f>
        <v>54.077702338624</v>
      </c>
    </row>
    <row r="14" customFormat="false" ht="15" hidden="false" customHeight="true" outlineLevel="0" collapsed="false">
      <c r="B14" s="5" t="s">
        <v>470</v>
      </c>
      <c r="C14" s="39" t="n">
        <f aca="false">08_Heat_Balance!$C$19/1000</f>
        <v>193.647082360807</v>
      </c>
    </row>
    <row r="15" customFormat="false" ht="15" hidden="false" customHeight="true" outlineLevel="0" collapsed="false">
      <c r="B15" s="5" t="s">
        <v>359</v>
      </c>
      <c r="C15" s="13" t="n">
        <f aca="false">05_Heat_Loss!$C$35*04_Weather!$C$14*24/1000000</f>
        <v>127.541188841472</v>
      </c>
      <c r="G15" s="7" t="s">
        <v>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2026-05-15T20:33:10Z</dcterms:created>
  <dc:creator>openpyxl</dc:creator>
  <dc:description/>
  <dc:language>en-US</dc:language>
  <cp:lastModifiedBy/>
  <dcterms:modified xsi:type="dcterms:W3CDTF">2026-05-16T08:50:57Z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